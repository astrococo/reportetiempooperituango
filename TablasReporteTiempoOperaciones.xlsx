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Laboral\EPM\ApoyoOperaciones\reporte_novedades_streamlit\streamlit_tiempo_app_full\GitHub\"/>
    </mc:Choice>
  </mc:AlternateContent>
  <xr:revisionPtr revIDLastSave="0" documentId="13_ncr:1_{669551EB-B96C-4816-B724-DABE7892D39A}" xr6:coauthVersionLast="47" xr6:coauthVersionMax="47" xr10:uidLastSave="{00000000-0000-0000-0000-000000000000}"/>
  <bookViews>
    <workbookView xWindow="-28920" yWindow="-120" windowWidth="29040" windowHeight="17520" activeTab="3" xr2:uid="{984391AF-0E5E-4680-BF40-9EA77C7B39E8}"/>
  </bookViews>
  <sheets>
    <sheet name="Personal" sheetId="1" r:id="rId1"/>
    <sheet name="JornadaSemanal" sheetId="4" r:id="rId2"/>
    <sheet name="JornadaDiaria" sheetId="6" r:id="rId3"/>
    <sheet name="JornadaHoraria" sheetId="7" r:id="rId4"/>
    <sheet name="Semanas" sheetId="2" state="hidden" r:id="rId5"/>
    <sheet name="HorasExtras" sheetId="8" state="hidden" r:id="rId6"/>
    <sheet name="Semana" sheetId="3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 a="1"/>
  <c r="B4" i="2" s="1"/>
  <c r="A4" i="2" a="1"/>
  <c r="A4" i="2" s="1"/>
  <c r="C4" i="2" s="1"/>
  <c r="C38" i="2" l="1"/>
  <c r="C13" i="2"/>
  <c r="C24" i="2"/>
  <c r="C35" i="2"/>
  <c r="C11" i="2"/>
  <c r="C22" i="2"/>
  <c r="C21" i="2"/>
  <c r="C42" i="2"/>
  <c r="C52" i="2"/>
  <c r="C40" i="2"/>
  <c r="C28" i="2"/>
  <c r="C16" i="2"/>
  <c r="C50" i="2"/>
  <c r="C37" i="2"/>
  <c r="C51" i="2"/>
  <c r="C39" i="2"/>
  <c r="C27" i="2"/>
  <c r="C15" i="2"/>
  <c r="C26" i="2"/>
  <c r="C33" i="2"/>
  <c r="C44" i="2"/>
  <c r="C32" i="2"/>
  <c r="C20" i="2"/>
  <c r="C8" i="2"/>
  <c r="C55" i="2"/>
  <c r="C43" i="2"/>
  <c r="C31" i="2"/>
  <c r="C19" i="2"/>
  <c r="C7" i="2"/>
  <c r="C14" i="2"/>
  <c r="C49" i="2"/>
  <c r="C25" i="2"/>
  <c r="C48" i="2"/>
  <c r="C36" i="2"/>
  <c r="C12" i="2"/>
  <c r="C47" i="2"/>
  <c r="C23" i="2"/>
  <c r="C18" i="2"/>
  <c r="C46" i="2"/>
  <c r="C34" i="2"/>
  <c r="C10" i="2"/>
  <c r="C45" i="2"/>
  <c r="C9" i="2"/>
  <c r="C54" i="2"/>
  <c r="C30" i="2"/>
  <c r="C6" i="2"/>
  <c r="C53" i="2"/>
  <c r="C41" i="2"/>
  <c r="C29" i="2"/>
  <c r="C17" i="2"/>
  <c r="C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<sst xmlns="http://schemas.openxmlformats.org/spreadsheetml/2006/main" count="1613" uniqueCount="321">
  <si>
    <t>Registro</t>
  </si>
  <si>
    <t>Nombre Funcionario</t>
  </si>
  <si>
    <t>Especialidad</t>
  </si>
  <si>
    <t>Equipo</t>
  </si>
  <si>
    <t>ALEXANDER DE JESUS HERNANDEZ OSPINA</t>
  </si>
  <si>
    <t>ELECTRÓNICO</t>
  </si>
  <si>
    <t>TECNÓLOGO-TECNÓLOGA OPERACIÓN MANTENIMIENTO Y SERVICIOS</t>
  </si>
  <si>
    <t>TECNÓLOGOS TOMS</t>
  </si>
  <si>
    <t>ANCISAR USME BUSTAMANTE</t>
  </si>
  <si>
    <t>MECÁNICO</t>
  </si>
  <si>
    <t>MECÁNICO INDUSTRIAL</t>
  </si>
  <si>
    <t>TÉCNICOS</t>
  </si>
  <si>
    <t>ANDRES ANTONIO GUTIERREZ SERNA</t>
  </si>
  <si>
    <t>CIVIL</t>
  </si>
  <si>
    <t>ANDRES FELIPE RUIZ MUNERA</t>
  </si>
  <si>
    <t>ELECTRICISTA</t>
  </si>
  <si>
    <t>ANDRES FELIPE ZAPATA VALLE</t>
  </si>
  <si>
    <t>VEHÍCULO EQUIPO</t>
  </si>
  <si>
    <t>CONDUCTOR-CONDUCTORA VEHÍCULO EQUIPO</t>
  </si>
  <si>
    <t>CONDUCTORES</t>
  </si>
  <si>
    <t>ANDRES SALDARRIAGA HOYOS</t>
  </si>
  <si>
    <t>PROFESIONAL A OPERACIONES NEGOCIOS</t>
  </si>
  <si>
    <t>PROFESIONALES</t>
  </si>
  <si>
    <t>ANGEL HUMBERTO URIBE LONDOÑO</t>
  </si>
  <si>
    <t>ELECTRICISTA- ELECTRONICO</t>
  </si>
  <si>
    <t>ARLEY CARMONA PADILLA</t>
  </si>
  <si>
    <t>BERNARDO ERNESTO BEDOYA BOLIVAR</t>
  </si>
  <si>
    <t>OPERADOR</t>
  </si>
  <si>
    <t>TECNÓLOGO-TECNÓLOGA OPERACIÓN</t>
  </si>
  <si>
    <t>OPERADORES</t>
  </si>
  <si>
    <t xml:space="preserve">BERONICA GUERRA PALACIO </t>
  </si>
  <si>
    <t>LEDYS YADIRA ARANGO BUILES</t>
  </si>
  <si>
    <t>TECNÓLOGO ADMINISTRATIVO</t>
  </si>
  <si>
    <t>TECNÓLOGO-TECNÓLOGA ADMINISTRATIVO</t>
  </si>
  <si>
    <t>ADMINISTRATIVOS</t>
  </si>
  <si>
    <t>CARLOS  ARTURO MEJIA ZAPATA</t>
  </si>
  <si>
    <t>CARLOS ELADIO CORREA CAMPUZANO</t>
  </si>
  <si>
    <t>CARLOS ALBERTO GARCIA MENDOZA</t>
  </si>
  <si>
    <t>MARÍA DANIELA OCAMPO MESA</t>
  </si>
  <si>
    <t>CARLOS MARIO SALDARRIAGA PEÑA</t>
  </si>
  <si>
    <t>VEHÍCULO PESADO</t>
  </si>
  <si>
    <t>CONDUCTOR-CONDUCTORA VEHÍCULOS PESADOS</t>
  </si>
  <si>
    <t>CARLOS MARIO USUGA OLIVEROS</t>
  </si>
  <si>
    <t>LÍDER OPERACIÓN INTEGRADA</t>
  </si>
  <si>
    <t>LÍDERES</t>
  </si>
  <si>
    <t>CRISTIAN DANIEL HERNANDEZ CHAVARRIA</t>
  </si>
  <si>
    <t>CRISTIAN DAVID HERNANDEZ ARGUMEDO</t>
  </si>
  <si>
    <t>CRISTIAN FERNEY CASTRO CARDOZO</t>
  </si>
  <si>
    <t>YEISON ANSELMO LOPEZ GALVIS</t>
  </si>
  <si>
    <t>TECNÓLOGO-TECNÓLOGA CENTRO DE CONTROL</t>
  </si>
  <si>
    <t>DAVER ORLEY MIRA ARROYAVE</t>
  </si>
  <si>
    <t>RODOLFO ARLEY RESTREPO MESA</t>
  </si>
  <si>
    <t>DAVID ALFREDO USMA GARRIDO</t>
  </si>
  <si>
    <t>DAVIER EDILSON FLOREZ OQUENDO</t>
  </si>
  <si>
    <t>DAVISON AUDREY PEREZ MORALES</t>
  </si>
  <si>
    <t>DEICI YOVANA ZAPATA CORREA</t>
  </si>
  <si>
    <t>DEIVI FERNANDO BAENA MORALES</t>
  </si>
  <si>
    <t>DIEXER DEIMER CARO PRADO</t>
  </si>
  <si>
    <t>DUBAN ALEJANDRO RUA PEREZ</t>
  </si>
  <si>
    <t>DUBIAN HERNEY HINCAPIE BURITICA</t>
  </si>
  <si>
    <t>DUVAN MAURICIO JIMENEZ RODRIGUEZ</t>
  </si>
  <si>
    <t>DUVERNEY SUCERQUIA MONTOYA</t>
  </si>
  <si>
    <t>EDDY YOJANA LOPERA ARENAS</t>
  </si>
  <si>
    <t>EDISSON ELIAS ESPINAL OSSA</t>
  </si>
  <si>
    <t>EDUAR ALEXANDER MAZO MONTERO</t>
  </si>
  <si>
    <t>PROFESIONAL B OPERACIONES NEGOCIOS</t>
  </si>
  <si>
    <t>EDWIN ALBERTO VALLE LOPERA</t>
  </si>
  <si>
    <t>EFRAIN LOPEZ HERRERA</t>
  </si>
  <si>
    <t>EFREN ANTONIO VALENCIA CORTES</t>
  </si>
  <si>
    <t>ELBER ENRIQUE CUESTA LENIS</t>
  </si>
  <si>
    <t>ERVIN RENE SEPULVEDA GONZALEZ</t>
  </si>
  <si>
    <t>FEDERMAN RIVERA GENEY</t>
  </si>
  <si>
    <t xml:space="preserve">FELIPE RESTREPO BASTIDAS </t>
  </si>
  <si>
    <t>FERNEY DAVID ARIAS MARTINEZ</t>
  </si>
  <si>
    <t>FERNEY DE JESUS BAENA HENAO</t>
  </si>
  <si>
    <t>FRANCISCO JAVIER BORJA LIÑAN</t>
  </si>
  <si>
    <t>TÉCNICO DE LA OPERACIÓN</t>
  </si>
  <si>
    <t>TÉCNICO-TÉCNICA DE LA OPERACIÓN</t>
  </si>
  <si>
    <t>FRANCISCO JAVIER OSPINO OROZCO</t>
  </si>
  <si>
    <t>FRANCISCO LUIS ECHEVERRI TABARES</t>
  </si>
  <si>
    <t>FRANK MANUEL CORDOBA OSPINA</t>
  </si>
  <si>
    <t>GERMAN DARIO BENITEZ GOEZ</t>
  </si>
  <si>
    <t>GUILLERMO LEON ECHEVERRY VELEZ</t>
  </si>
  <si>
    <t>GUSTAVO ALONSO PARRA ATEHORTUA</t>
  </si>
  <si>
    <t>WEIMAR ERNEY SUAREZ MESA</t>
  </si>
  <si>
    <t>HECTOR HUGO GORDILLO URIBE</t>
  </si>
  <si>
    <t>HERNAN ALDIDIER MONARES OSORIO</t>
  </si>
  <si>
    <t>HERNAN LEONARDO ORTIZ ROJAS</t>
  </si>
  <si>
    <t>HUGO HERNEY FONSECA BAHOS</t>
  </si>
  <si>
    <t>IGNACIO ALFONSO CATAÑO ARROYAVE</t>
  </si>
  <si>
    <t>JADER ALBERTO USME LOPEZ</t>
  </si>
  <si>
    <t>JAVIER ESTEBAN MONSALVE JARAMILLO</t>
  </si>
  <si>
    <t>JENNY ANDREA ESPINOSA CARDONA</t>
  </si>
  <si>
    <t>TÉCNICA ADMINISTRATIVA</t>
  </si>
  <si>
    <t>TÉCNICO-TÉCNICA ADMINISTRATIVO</t>
  </si>
  <si>
    <t>JENNY CATHERINE VERGARA  VALENCIA</t>
  </si>
  <si>
    <t>JENNY LEANY HINCAPIE VASQUEZ</t>
  </si>
  <si>
    <t>JHON ALEXIS SALAZAR DUQUE</t>
  </si>
  <si>
    <t>JHON HEINER CHAPARRO GUERRERO</t>
  </si>
  <si>
    <t xml:space="preserve">JHONY ALBERTO BALLESTAS PUERTA </t>
  </si>
  <si>
    <t>JHONY CRUZ GUZMAN</t>
  </si>
  <si>
    <t>JHORMAN ARBEY SERNA GONZALEZ</t>
  </si>
  <si>
    <t>JILDER MANUEL YOTAGRI VELEZ</t>
  </si>
  <si>
    <t>JOAN MIGUEL ZAPATA LONDOÑO</t>
  </si>
  <si>
    <t>JOHAN ALBERTO GALEANO RIOS</t>
  </si>
  <si>
    <t>REPRESERO</t>
  </si>
  <si>
    <t>REPRESERO-REPRESERA OPERACIÓN LANCHA</t>
  </si>
  <si>
    <t>JOHAN MANUEL RAMIREZ AGUDELO</t>
  </si>
  <si>
    <t>PROFESIONAL C OPERACIONES NEGOCIOS</t>
  </si>
  <si>
    <t>JOHN ALEXANDER POSADA POSADA</t>
  </si>
  <si>
    <t>JOHN FREDY SERNA MONSALVE</t>
  </si>
  <si>
    <t>JOHNNATAN GIRESSE AVENDAÑO RODRIGUEZ</t>
  </si>
  <si>
    <t>YESID MAURICIO CORREA PINO</t>
  </si>
  <si>
    <t>JONATHAN ALEJANDRO GOMEZ QUINTANA</t>
  </si>
  <si>
    <t>JONATHAN LEANDRO ALVAREZ CORTES</t>
  </si>
  <si>
    <t>VEHÍCULO LIVIANO</t>
  </si>
  <si>
    <t>CONDUCTOR-CONDUCTORA VEHÍCULOS LIVIANOS</t>
  </si>
  <si>
    <t>JONNATHAN ALEXANDER DUQUE BETANCUR</t>
  </si>
  <si>
    <t>JONNY ANTONIO VALENCIA CIRO</t>
  </si>
  <si>
    <t xml:space="preserve">JORGE ADRIAN ARANGO  CARDENAS </t>
  </si>
  <si>
    <t>JORGE ALBERTO RODRIGUEZ LOPEZ</t>
  </si>
  <si>
    <t>JOSE DAVID MILANES BRAVO</t>
  </si>
  <si>
    <t>JOSE TILSON MERCADO OSPINO</t>
  </si>
  <si>
    <t>JUAN ALBERTO CAICEDO HENAO</t>
  </si>
  <si>
    <t>JUAN CAMILO ALARCON GUZMAN</t>
  </si>
  <si>
    <t>JUAN CAMILO LONDOÑO SALAZAR</t>
  </si>
  <si>
    <t>JUAN DAVID FRANCO BRAN</t>
  </si>
  <si>
    <t>JUAN FELIPE LOAIZA LOAIZA</t>
  </si>
  <si>
    <t>JUAN PABLO ARIAS HERNANDEZ</t>
  </si>
  <si>
    <t>JUAN PABLO MOLINA FLOREZ</t>
  </si>
  <si>
    <t>JULIAN ALEXIS RAMIREZ CEBALLOS</t>
  </si>
  <si>
    <t>JULIAN DARIO BURITICA VELEZ</t>
  </si>
  <si>
    <t>JULIAN DAVID GRISALES VILLEGAS</t>
  </si>
  <si>
    <t>KELLY JOHANA BARRERA LOPERA</t>
  </si>
  <si>
    <t>YAMITH ANDRES NARVAEZ RESTREPO</t>
  </si>
  <si>
    <t>JEFE</t>
  </si>
  <si>
    <t>JEFE-JEFA ÁREA OPERACIONES ITUANGO</t>
  </si>
  <si>
    <t>JEFES</t>
  </si>
  <si>
    <t>LIBORIO RANULFO MEJIA VERGARA</t>
  </si>
  <si>
    <t>LUIS FERNANDO LOPERA CORREA</t>
  </si>
  <si>
    <t>LUIS FERNANDO LOPEZ BARRIENTOS</t>
  </si>
  <si>
    <t>LUIS FERNANDO MIRA ALBANES</t>
  </si>
  <si>
    <t>MANUEL FELIX PERLAZA CIRO</t>
  </si>
  <si>
    <t>MANUEL JOSE CHAVARRIA POSADA</t>
  </si>
  <si>
    <t>MARCO IGNACIO VARGAS ZABALA</t>
  </si>
  <si>
    <t>MARLON ALBERTO CARMONA</t>
  </si>
  <si>
    <t>MATEO ESTIVEN SEPULVEDA JARAMILLO</t>
  </si>
  <si>
    <t xml:space="preserve">MATEO LUNA AVENDANO </t>
  </si>
  <si>
    <t>MAURICIO ALONSO CAICEDO HENAO</t>
  </si>
  <si>
    <t>MAURICIO CORREA MUÑOZ</t>
  </si>
  <si>
    <t>MAYCOL ALEXIS SANCHEZ RUIZ</t>
  </si>
  <si>
    <t>MAYCOL STIVEN GONZALEZ GARCIA</t>
  </si>
  <si>
    <t>MIGUEL ANTONIO USME GALEANO</t>
  </si>
  <si>
    <t>OLMAR GIOVANI CHAVARRIA  ZAPATA</t>
  </si>
  <si>
    <t>OMAR JULIAN GARCIA GARCIA</t>
  </si>
  <si>
    <t>OSCAR MAURICIO MONSALVE HENAO</t>
  </si>
  <si>
    <t>OSSEAS DARINEL HINCAPIE AGUILAR</t>
  </si>
  <si>
    <t>RICARDO ANDRES VIDAL ESPINOZA</t>
  </si>
  <si>
    <t>RICHARD JIMENEZ RIVERA</t>
  </si>
  <si>
    <t>RIVEIRO MEJIA GOMEZ</t>
  </si>
  <si>
    <t>ROBERTO CARLOS PETRO POLO</t>
  </si>
  <si>
    <t>WALTER ALBEIRO MACIAS GONZALEZ</t>
  </si>
  <si>
    <t>ROBINSON GIRALDO LOPEZ</t>
  </si>
  <si>
    <t>WILLIAM JOHAN AREIZA  MORENO</t>
  </si>
  <si>
    <t>RONAL ALFONSO ARANGO LOPEZ</t>
  </si>
  <si>
    <t>SANDRO ALEXANDER CARDENAS ARROYAVE</t>
  </si>
  <si>
    <t>SOLDADOR-SOLDADORA MECÁNICO-MECÁNICA</t>
  </si>
  <si>
    <t>SEBASTIAN FELIPE SEPULVEDA MONTOYA</t>
  </si>
  <si>
    <t>WALTER TÁCITO GONZÁLEZ SANTANA</t>
  </si>
  <si>
    <t>YONNY ALEXANDER CASTRILLON CADAVID</t>
  </si>
  <si>
    <t>ROBERT DAVID ROMERO RESTREPO</t>
  </si>
  <si>
    <t> 119532</t>
  </si>
  <si>
    <t>OSCAR JAVIER VILLA RODRIGUEZ</t>
  </si>
  <si>
    <t>JOSE MIGUEL CORREA MUNERA</t>
  </si>
  <si>
    <t>LUIS FERNANDO CAMARGO RICO</t>
  </si>
  <si>
    <t>MANUEL HUMBERTO SALDARRIAGA BEDOYA</t>
  </si>
  <si>
    <t>HENRY MANUEL TIBADUIZA GONZÁLEZ</t>
  </si>
  <si>
    <t>SEBASTIAN VELASQUEZ MORALES</t>
  </si>
  <si>
    <t>MARIA ALEJANDRA SEPULVEDA CHAVARRIA</t>
  </si>
  <si>
    <r>
      <t>YENY CAROLINA</t>
    </r>
    <r>
      <rPr>
        <sz val="11"/>
        <color theme="1"/>
        <rFont val="Calibri"/>
        <family val="2"/>
        <scheme val="minor"/>
      </rPr>
      <t xml:space="preserve"> ADARVE USUGA</t>
    </r>
  </si>
  <si>
    <t>AYUDANTE ELECTRICISTA</t>
  </si>
  <si>
    <r>
      <t>LEON ALBERTO</t>
    </r>
    <r>
      <rPr>
        <sz val="11"/>
        <color theme="1"/>
        <rFont val="Calibri"/>
        <family val="2"/>
        <scheme val="minor"/>
      </rPr>
      <t xml:space="preserve"> JIMENEZ GOMEZ</t>
    </r>
  </si>
  <si>
    <r>
      <t>JAIR HUMBERTO</t>
    </r>
    <r>
      <rPr>
        <sz val="11"/>
        <color theme="1"/>
        <rFont val="Calibri"/>
        <family val="2"/>
        <scheme val="minor"/>
      </rPr>
      <t xml:space="preserve"> LOPEZ MAZO</t>
    </r>
  </si>
  <si>
    <r>
      <t>ANA MILENA</t>
    </r>
    <r>
      <rPr>
        <sz val="11"/>
        <color theme="1"/>
        <rFont val="Calibri"/>
        <family val="2"/>
        <scheme val="minor"/>
      </rPr>
      <t xml:space="preserve"> ARBOLEDA GONZALEZ</t>
    </r>
  </si>
  <si>
    <r>
      <t>YEISON FERNANDO</t>
    </r>
    <r>
      <rPr>
        <sz val="11"/>
        <color theme="1"/>
        <rFont val="Calibri"/>
        <family val="2"/>
        <scheme val="minor"/>
      </rPr>
      <t xml:space="preserve"> CHAVARRIA CHAVARRIA</t>
    </r>
  </si>
  <si>
    <r>
      <t>JORGE MARIO</t>
    </r>
    <r>
      <rPr>
        <sz val="11"/>
        <color theme="1"/>
        <rFont val="Calibri"/>
        <family val="2"/>
        <scheme val="minor"/>
      </rPr>
      <t xml:space="preserve"> GARCIA JARAMILLO</t>
    </r>
  </si>
  <si>
    <r>
      <t>OLGA LUCIA</t>
    </r>
    <r>
      <rPr>
        <sz val="11"/>
        <color theme="1"/>
        <rFont val="Calibri"/>
        <family val="2"/>
        <scheme val="minor"/>
      </rPr>
      <t xml:space="preserve"> GRANDA JARAMILLO</t>
    </r>
  </si>
  <si>
    <r>
      <t>BRAYAN CAMILO</t>
    </r>
    <r>
      <rPr>
        <sz val="11"/>
        <color theme="1"/>
        <rFont val="Calibri"/>
        <family val="2"/>
        <scheme val="minor"/>
      </rPr>
      <t xml:space="preserve"> MURILLO CRUZ</t>
    </r>
  </si>
  <si>
    <r>
      <t>JOSE FERNANDO</t>
    </r>
    <r>
      <rPr>
        <sz val="11"/>
        <color theme="1"/>
        <rFont val="Calibri"/>
        <family val="2"/>
        <scheme val="minor"/>
      </rPr>
      <t xml:space="preserve"> OSSA ORREGO</t>
    </r>
  </si>
  <si>
    <r>
      <t>JULIAN DAVID</t>
    </r>
    <r>
      <rPr>
        <sz val="11"/>
        <color theme="1"/>
        <rFont val="Calibri"/>
        <family val="2"/>
        <scheme val="minor"/>
      </rPr>
      <t xml:space="preserve"> PADILLA GRANDA</t>
    </r>
  </si>
  <si>
    <r>
      <t>WILLIAN DE JESUS</t>
    </r>
    <r>
      <rPr>
        <sz val="11"/>
        <color theme="1"/>
        <rFont val="Calibri"/>
        <family val="2"/>
        <scheme val="minor"/>
      </rPr>
      <t xml:space="preserve"> HURTADO GRACIANO</t>
    </r>
  </si>
  <si>
    <r>
      <t>CRISTIAN</t>
    </r>
    <r>
      <rPr>
        <sz val="11"/>
        <color theme="1"/>
        <rFont val="Calibri"/>
        <family val="2"/>
        <scheme val="minor"/>
      </rPr>
      <t xml:space="preserve"> CASTRO RUEDA</t>
    </r>
  </si>
  <si>
    <r>
      <t>AGUSTIN ELIECER</t>
    </r>
    <r>
      <rPr>
        <sz val="11"/>
        <color theme="1"/>
        <rFont val="Calibri"/>
        <family val="2"/>
        <scheme val="minor"/>
      </rPr>
      <t xml:space="preserve"> LOPEZ SEPULVEDA</t>
    </r>
  </si>
  <si>
    <r>
      <t>ELIAN CAMILO</t>
    </r>
    <r>
      <rPr>
        <sz val="11"/>
        <color theme="1"/>
        <rFont val="Calibri"/>
        <family val="2"/>
        <scheme val="minor"/>
      </rPr>
      <t xml:space="preserve"> DE LA OSSA AMIN</t>
    </r>
  </si>
  <si>
    <r>
      <t>ALEXANDER</t>
    </r>
    <r>
      <rPr>
        <sz val="11"/>
        <color theme="1"/>
        <rFont val="Calibri"/>
        <family val="2"/>
        <scheme val="minor"/>
      </rPr>
      <t xml:space="preserve"> MOSQUERA CORDOBA</t>
    </r>
  </si>
  <si>
    <r>
      <t>CARLOS MARIO</t>
    </r>
    <r>
      <rPr>
        <sz val="11"/>
        <color theme="1"/>
        <rFont val="Calibri"/>
        <family val="2"/>
        <scheme val="minor"/>
      </rPr>
      <t xml:space="preserve"> JARAMILLO MONTOYA</t>
    </r>
  </si>
  <si>
    <r>
      <t>DAVID</t>
    </r>
    <r>
      <rPr>
        <sz val="11"/>
        <color theme="1"/>
        <rFont val="Calibri"/>
        <family val="2"/>
        <scheme val="minor"/>
      </rPr>
      <t xml:space="preserve"> ORTEGA ALVAREZ</t>
    </r>
  </si>
  <si>
    <r>
      <t>JUAN PABLO</t>
    </r>
    <r>
      <rPr>
        <sz val="11"/>
        <color theme="1"/>
        <rFont val="Calibri"/>
        <family val="2"/>
        <scheme val="minor"/>
      </rPr>
      <t xml:space="preserve"> RODAS GIRALDO</t>
    </r>
  </si>
  <si>
    <r>
      <t>JAIME</t>
    </r>
    <r>
      <rPr>
        <sz val="11"/>
        <color theme="1"/>
        <rFont val="Calibri"/>
        <family val="2"/>
        <scheme val="minor"/>
      </rPr>
      <t xml:space="preserve"> RINCON ALARCON</t>
    </r>
  </si>
  <si>
    <r>
      <t>LUISA FERNANDA</t>
    </r>
    <r>
      <rPr>
        <sz val="11"/>
        <color theme="1"/>
        <rFont val="Calibri"/>
        <family val="2"/>
        <scheme val="minor"/>
      </rPr>
      <t xml:space="preserve"> OQUENDO GIL</t>
    </r>
  </si>
  <si>
    <r>
      <t>WYLLIAN MAURICIO</t>
    </r>
    <r>
      <rPr>
        <sz val="11"/>
        <color theme="1"/>
        <rFont val="Calibri"/>
        <family val="2"/>
        <scheme val="minor"/>
      </rPr>
      <t xml:space="preserve"> AREIZA HERNANDEZ</t>
    </r>
  </si>
  <si>
    <r>
      <t>JHOANN MAURICIO</t>
    </r>
    <r>
      <rPr>
        <sz val="11"/>
        <color theme="1"/>
        <rFont val="Calibri"/>
        <family val="2"/>
        <scheme val="minor"/>
      </rPr>
      <t xml:space="preserve"> JARAMILLO VELEZ</t>
    </r>
  </si>
  <si>
    <r>
      <t>JOHN SEBASTIÁN</t>
    </r>
    <r>
      <rPr>
        <sz val="11"/>
        <color theme="1"/>
        <rFont val="Calibri"/>
        <family val="2"/>
        <scheme val="minor"/>
      </rPr>
      <t xml:space="preserve"> MARIN OSSA</t>
    </r>
  </si>
  <si>
    <r>
      <t>YAMILE</t>
    </r>
    <r>
      <rPr>
        <sz val="11"/>
        <color theme="1"/>
        <rFont val="Calibri"/>
        <family val="2"/>
        <scheme val="minor"/>
      </rPr>
      <t xml:space="preserve"> POMARES ARENAS</t>
    </r>
  </si>
  <si>
    <r>
      <t>IVAN JAVIER</t>
    </r>
    <r>
      <rPr>
        <sz val="11"/>
        <color theme="1"/>
        <rFont val="Calibri"/>
        <family val="2"/>
        <scheme val="minor"/>
      </rPr>
      <t xml:space="preserve"> VARGAS ARIAS</t>
    </r>
  </si>
  <si>
    <r>
      <t>CRISTIAN CAMILO</t>
    </r>
    <r>
      <rPr>
        <sz val="11"/>
        <color theme="1"/>
        <rFont val="Calibri"/>
        <family val="2"/>
        <scheme val="minor"/>
      </rPr>
      <t xml:space="preserve"> MAZO LOPERA</t>
    </r>
  </si>
  <si>
    <r>
      <t>JOHN EUDES</t>
    </r>
    <r>
      <rPr>
        <sz val="11"/>
        <color theme="1"/>
        <rFont val="Calibri"/>
        <family val="2"/>
        <scheme val="minor"/>
      </rPr>
      <t xml:space="preserve"> GIRALDO CORREA</t>
    </r>
  </si>
  <si>
    <t>ARIEL ANIBAL AGUDELO MUÑOZ</t>
  </si>
  <si>
    <t>CONDUCTOR VEHICULO EQUIPO</t>
  </si>
  <si>
    <t>EMBALSE</t>
  </si>
  <si>
    <t>VIRGILIO DE JESUS RAMIREZ LONDONO</t>
  </si>
  <si>
    <t>REPRESERO OPERADOR LANCHA</t>
  </si>
  <si>
    <t>JHON DENNIS OSSA ORREGO</t>
  </si>
  <si>
    <t xml:space="preserve">RUBEN DARIO MONSALVE </t>
  </si>
  <si>
    <t xml:space="preserve">CONDUCTOR-CONDUCTORA </t>
  </si>
  <si>
    <t>GILBERTO DE JESÚS LONDOÑO GIL</t>
  </si>
  <si>
    <t>ADRIAN DE JESUS HOLGUIN CARO</t>
  </si>
  <si>
    <t>CONDUCTOR-CONDUCTORA VEHICULOS PESADOS</t>
  </si>
  <si>
    <t>SERGIO LEON URIBE MEDINA</t>
  </si>
  <si>
    <t>CONDUCTOR VEHICULO PESADO</t>
  </si>
  <si>
    <t>VICTOR HUGO MARIN MARIN</t>
  </si>
  <si>
    <t>JUAN DAVID DUQUE HINCAPIE</t>
  </si>
  <si>
    <t>DIEGO ARMANDO SANCHEZ TRUJILLO</t>
  </si>
  <si>
    <t>TECNÓLOGO OPERACIÓN MANTENIMIENTO Y SERVICIOS</t>
  </si>
  <si>
    <t>DIEGO JOSÉ GÓMEZ CANO</t>
  </si>
  <si>
    <t>CONDUCTOR DE VEHÍCULO EQUIPADO</t>
  </si>
  <si>
    <t>LIBET CAMILA LÓPEZ RENDÓN</t>
  </si>
  <si>
    <t>MADELYN MUÑOZ LEÓN</t>
  </si>
  <si>
    <t>CAMILO TRUJILLO LOPEZ</t>
  </si>
  <si>
    <t>LUIS FERNANDO GÓMEZ TUMBLÉ</t>
  </si>
  <si>
    <t>Grupo</t>
  </si>
  <si>
    <t>Semana</t>
  </si>
  <si>
    <t>Mes</t>
  </si>
  <si>
    <t>Año</t>
  </si>
  <si>
    <t>Intervalo</t>
  </si>
  <si>
    <t>6 ene - 12 ene</t>
  </si>
  <si>
    <t>enero</t>
  </si>
  <si>
    <t>13 ene - 19 ene</t>
  </si>
  <si>
    <t>20 ene - 26 ene</t>
  </si>
  <si>
    <t>27 ene - 2 feb</t>
  </si>
  <si>
    <t>3 feb - 9 feb</t>
  </si>
  <si>
    <t>febrero</t>
  </si>
  <si>
    <t>10 feb - 16 feb</t>
  </si>
  <si>
    <t>17 feb - 23 feb</t>
  </si>
  <si>
    <t>24 feb - 2 mar</t>
  </si>
  <si>
    <t>3 mar - 9 mar</t>
  </si>
  <si>
    <t>marzo</t>
  </si>
  <si>
    <t>10 mar - 16 mar</t>
  </si>
  <si>
    <t>17 mar - 23 mar</t>
  </si>
  <si>
    <t>24 mar - 30 mar</t>
  </si>
  <si>
    <t>31 mar - 6 abr</t>
  </si>
  <si>
    <t>abril</t>
  </si>
  <si>
    <t>7 abr - 13 abr</t>
  </si>
  <si>
    <t>14 abr - 20 abr</t>
  </si>
  <si>
    <t>21 abr - 27 abr</t>
  </si>
  <si>
    <t>28 abr - 4 may</t>
  </si>
  <si>
    <t>5 may - 11 may</t>
  </si>
  <si>
    <t>mayo</t>
  </si>
  <si>
    <t>12 may - 18 may</t>
  </si>
  <si>
    <t>19 may - 25 may</t>
  </si>
  <si>
    <t>26 may - 1 jun</t>
  </si>
  <si>
    <t>2 jun - 8 jun</t>
  </si>
  <si>
    <t>junio</t>
  </si>
  <si>
    <t>9 jun - 15 jun</t>
  </si>
  <si>
    <t>16 jun - 22 jun</t>
  </si>
  <si>
    <t>23 jun - 29 jun</t>
  </si>
  <si>
    <t>30 jun - 6 jul</t>
  </si>
  <si>
    <t>julio</t>
  </si>
  <si>
    <t>7 jul - 13 jul</t>
  </si>
  <si>
    <t>14 jul - 20 jul</t>
  </si>
  <si>
    <t>21 jul - 27 jul</t>
  </si>
  <si>
    <t>28 jul - 3 ago</t>
  </si>
  <si>
    <t>4 ago - 10 ago</t>
  </si>
  <si>
    <t>agosto</t>
  </si>
  <si>
    <t>11 ago - 17 ago</t>
  </si>
  <si>
    <t>18 ago - 24 ago</t>
  </si>
  <si>
    <t>25 ago - 31 ago</t>
  </si>
  <si>
    <t>1 sep - 7 sep</t>
  </si>
  <si>
    <t>septiembre</t>
  </si>
  <si>
    <t>8 sep - 14 sep</t>
  </si>
  <si>
    <t>15 sep - 21 sep</t>
  </si>
  <si>
    <t>22 sep - 28 sep</t>
  </si>
  <si>
    <t>29 sep - 5 oct</t>
  </si>
  <si>
    <t>6 oct - 12 oct</t>
  </si>
  <si>
    <t>octubre</t>
  </si>
  <si>
    <t>13 oct - 19 oct</t>
  </si>
  <si>
    <t>20 oct - 26 oct</t>
  </si>
  <si>
    <t>27 oct - 2 nov</t>
  </si>
  <si>
    <t>3 nov - 9 nov</t>
  </si>
  <si>
    <t>noviembre</t>
  </si>
  <si>
    <t>10 nov - 16 nov</t>
  </si>
  <si>
    <t>17 nov - 23 nov</t>
  </si>
  <si>
    <t>24 nov - 30 nov</t>
  </si>
  <si>
    <t>1 dic - 7 dic</t>
  </si>
  <si>
    <t>diciembre</t>
  </si>
  <si>
    <t>8 dic - 14 dic</t>
  </si>
  <si>
    <t>15 dic - 21 dic</t>
  </si>
  <si>
    <t>22 dic - 28 dic</t>
  </si>
  <si>
    <t>29 dic - 4 ene</t>
  </si>
  <si>
    <t>Lunes</t>
  </si>
  <si>
    <t>Martes</t>
  </si>
  <si>
    <t>Jueves</t>
  </si>
  <si>
    <t>Viernes</t>
  </si>
  <si>
    <t>Sábado</t>
  </si>
  <si>
    <t>Domingo</t>
  </si>
  <si>
    <t>TotalSemanal</t>
  </si>
  <si>
    <t>HoraInicioLabor</t>
  </si>
  <si>
    <t>HoraFinLabor</t>
  </si>
  <si>
    <t>HoraInicioAlmuerzo</t>
  </si>
  <si>
    <t>Dia</t>
  </si>
  <si>
    <t>Horas</t>
  </si>
  <si>
    <t>Miércoles</t>
  </si>
  <si>
    <t>HoraFinAlmuerzo</t>
  </si>
  <si>
    <t>6:00 a.m.</t>
  </si>
  <si>
    <t>5:00 p.m.</t>
  </si>
  <si>
    <t>1:00 p.m.</t>
  </si>
  <si>
    <t>12:00 p.m.</t>
  </si>
  <si>
    <t>7:00 a.m.</t>
  </si>
  <si>
    <t>12:30 p.m.</t>
  </si>
  <si>
    <t>6:00 p.m.</t>
  </si>
  <si>
    <t>4:00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</si>
</sst>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-mm\-yyyy;@"/>
    <numFmt numFmtId="166" formatCode="dd\-mm\-yy;@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>
      <protection locked="0"/>
    </xf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3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9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2" xfId="0" applyFont="1" applyFill="1" applyBorder="1"/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1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1" xfId="0" applyFont="1" applyFill="1" applyBorder="1"/>
    <xf numFmtId="0" fontId="1" fillId="0" borderId="6" xfId="0" applyFont="1" applyFill="1" applyBorder="1" applyAlignment="1">
      <alignment horizontal="center" vertical="center"/>
    </xf>
    <xf numFmtId="164" fontId="6" fillId="0" borderId="6" xfId="1" applyNumberFormat="1" applyFont="1" applyFill="1" applyBorder="1" applyAlignment="1" applyProtection="1">
      <alignment horizontal="center" vertical="center"/>
    </xf>
    <xf numFmtId="0" fontId="1" fillId="0" borderId="10" xfId="0" applyFont="1" applyFill="1" applyBorder="1"/>
    <xf numFmtId="164" fontId="6" fillId="0" borderId="12" xfId="1" applyNumberFormat="1" applyFont="1" applyFill="1" applyBorder="1" applyAlignment="1" applyProtection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 vertical="center"/>
    </xf>
    <xf numFmtId="166" fontId="0" fillId="0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331F207-D475-4047-A662-B9E3BB831993}"/>
  </cellStyles>
  <dxfs count="8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7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56389-B2FD-443A-8F10-47A37B38770E}" name="Personal" displayName="Personal" ref="A1:E178" totalsRowShown="0" headerRowDxfId="81" dataDxfId="79" headerRowBorderDxfId="80" tableBorderDxfId="78" totalsRowBorderDxfId="77">
  <autoFilter ref="A1:E178" xr:uid="{64256389-B2FD-443A-8F10-47A37B38770E}"/>
  <tableColumns count="5">
    <tableColumn id="1" xr3:uid="{E7F2C100-18DF-4411-A73C-27994E0C9A04}" name="Registro" dataDxfId="76"/>
    <tableColumn id="2" xr3:uid="{8665A8F1-32DC-4D00-BC12-6C1F705DFE83}" name="Nombre Funcionario" dataDxfId="75"/>
    <tableColumn id="3" xr3:uid="{B5612D54-209E-4683-9F15-D6DBA1F63917}" name="Especialidad" dataDxfId="74"/>
    <tableColumn id="4" xr3:uid="{94A3630D-6077-4CDE-9BFC-C6DC18B1A46F}" name="Equipo" dataDxfId="73"/>
    <tableColumn id="5" xr3:uid="{8E8E4779-CCA9-4767-9532-F8C1AB3EF48D}" name="Grupo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69F988-FC09-4D00-9668-71D14E613E8C}" name="JornadaSemana" displayName="JornadaSemana" ref="A1:B10" totalsRowShown="0" headerRowDxfId="71" dataDxfId="69" headerRowBorderDxfId="70" headerRowCellStyle="Normal 2">
  <autoFilter ref="A1:B10" xr:uid="{9669F988-FC09-4D00-9668-71D14E613E8C}"/>
  <tableColumns count="2">
    <tableColumn id="1" xr3:uid="{CBB6427E-FB74-411F-AE66-181C99691F69}" name="Grupo" dataDxfId="68"/>
    <tableColumn id="2" xr3:uid="{F33D9A73-C3A8-41D3-BC8A-EF129DB9531E}" name="TotalSemanal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9A44FF-B864-4531-9A60-63022AA96941}" name="JornadaDia" displayName="JornadaDia" ref="A1:C64" totalsRowShown="0" headerRowDxfId="54" dataDxfId="52" headerRowBorderDxfId="53" headerRowCellStyle="Normal 2">
  <autoFilter ref="A1:C64" xr:uid="{9669F988-FC09-4D00-9668-71D14E613E8C}"/>
  <tableColumns count="3">
    <tableColumn id="1" xr3:uid="{281CB728-6E3D-41AD-9855-E719662CF706}" name="Grupo" dataDxfId="51"/>
    <tableColumn id="3" xr3:uid="{8F14F932-7AB0-4953-8872-E6F856D68E6B}" name="Dia" dataDxfId="50"/>
    <tableColumn id="4" xr3:uid="{D1227BDF-7182-4677-9309-20721C75095D}" name="Horas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6C3118-24D2-4AE4-8071-7BCC6C27F325}" name="JornadaHora" displayName="JornadaHora" ref="A1:F64" totalsRowShown="0" headerRowDxfId="36" dataDxfId="34" headerRowBorderDxfId="35" headerRowCellStyle="Normal 2">
  <autoFilter ref="A1:F64" xr:uid="{9669F988-FC09-4D00-9668-71D14E613E8C}">
    <filterColumn colId="0">
      <filters>
        <filter val="ADMINISTRATIVOS"/>
        <filter val="CONDUCTORES"/>
        <filter val="EMBALSE"/>
        <filter val="JEFES"/>
        <filter val="LÍDERES"/>
        <filter val="PROFESIONALES"/>
        <filter val="TÉCNICOS"/>
        <filter val="TECNÓLOGOS TOMS"/>
      </filters>
    </filterColumn>
  </autoFilter>
  <tableColumns count="6">
    <tableColumn id="1" xr3:uid="{95F5AC83-5C56-48C6-A70F-0768938E7EF3}" name="Grupo" dataDxfId="33"/>
    <tableColumn id="3" xr3:uid="{D78564FA-737A-4ECB-BBB8-F092065A653F}" name="Dia" dataDxfId="32"/>
    <tableColumn id="4" xr3:uid="{358CA2A9-5862-4BA9-99AD-19DD5ED7D95B}" name="HoraInicioLabor" dataDxfId="31"/>
    <tableColumn id="10" xr3:uid="{70392109-CC8B-4E03-8A94-9E81AEC5C489}" name="HoraFinLabor" dataDxfId="30"/>
    <tableColumn id="11" xr3:uid="{C41D44E6-EAE9-406E-B7CF-8A5C8105CD0B}" name="HoraInicioAlmuerzo" dataDxfId="29"/>
    <tableColumn id="12" xr3:uid="{9B4D97F4-B68E-4C5A-A151-3DFBD5543DE0}" name="HoraFinAlmuerzo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B67AA-7514-4853-883A-E67241241D45}" name="JornadaHora3" displayName="JornadaHora3" ref="A1:F64" totalsRowShown="0" headerRowDxfId="15" dataDxfId="13" headerRowBorderDxfId="14" headerRowCellStyle="Normal 2">
  <autoFilter ref="A1:F64" xr:uid="{9669F988-FC09-4D00-9668-71D14E613E8C}">
    <filterColumn colId="0">
      <filters>
        <filter val="ADMINISTRATIVOS"/>
        <filter val="CONDUCTORES"/>
        <filter val="EMBALSE"/>
        <filter val="JEFES"/>
        <filter val="LÍDERES"/>
        <filter val="PROFESIONALES"/>
        <filter val="TÉCNICOS"/>
        <filter val="TECNÓLOGOS TOMS"/>
      </filters>
    </filterColumn>
  </autoFilter>
  <tableColumns count="6">
    <tableColumn id="1" xr3:uid="{77DA6168-0E59-4836-BF08-26470DA507E3}" name="Grupo" dataDxfId="12"/>
    <tableColumn id="3" xr3:uid="{7D83375A-6766-4DBC-9543-3C45841F56C8}" name="Dia" dataDxfId="11"/>
    <tableColumn id="4" xr3:uid="{61746561-E92A-4ED9-BCC4-6A4147A66E44}" name="HoraInicioLabor" dataDxfId="10"/>
    <tableColumn id="10" xr3:uid="{59BFAD7F-A193-4DF1-9E16-0E425CFB8F36}" name="HoraFinLabor" dataDxfId="9"/>
    <tableColumn id="11" xr3:uid="{514C7B56-899A-4C64-8341-BF326E01A7F6}" name="HoraInicioAlmuerzo" dataDxfId="8"/>
    <tableColumn id="12" xr3:uid="{5ADEF3CD-75B9-4F0F-9D4A-CCD42B4B6796}" name="HoraFinAlmuerzo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43937D-10BC-46BB-9EBD-97A3001F4D09}" name="Semana" displayName="Semana" ref="A1:C53" totalsRowShown="0" headerRowDxfId="6" headerRowBorderDxfId="5" tableBorderDxfId="4" totalsRowBorderDxfId="3">
  <autoFilter ref="A1:C53" xr:uid="{3643937D-10BC-46BB-9EBD-97A3001F4D09}"/>
  <tableColumns count="3">
    <tableColumn id="1" xr3:uid="{3EECE439-D920-4678-B13C-545DB7BDB899}" name="Semana" dataDxfId="2"/>
    <tableColumn id="2" xr3:uid="{872A020E-976E-43F5-A313-8AA3C011CD91}" name="Intervalo" dataDxfId="1"/>
    <tableColumn id="3" xr3:uid="{F1F1B3DB-B897-47FB-A2D4-5E23EA34932B}" name="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9483-5136-41F4-83EA-BAF525DE3B87}">
  <dimension ref="A1:E178"/>
  <sheetViews>
    <sheetView showGridLines="0" zoomScale="85" zoomScaleNormal="85" workbookViewId="0">
      <pane xSplit="1" ySplit="1" topLeftCell="B116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10" defaultRowHeight="14.4" x14ac:dyDescent="0.3"/>
  <cols>
    <col min="1" max="1" width="9.44140625" customWidth="1"/>
    <col min="2" max="2" width="41.33203125" bestFit="1" customWidth="1"/>
    <col min="3" max="3" width="27.88671875" style="1" bestFit="1" customWidth="1"/>
    <col min="4" max="4" width="61.5546875" bestFit="1" customWidth="1"/>
    <col min="5" max="5" width="21.21875" style="1" customWidth="1"/>
  </cols>
  <sheetData>
    <row r="1" spans="1:5" s="25" customFormat="1" x14ac:dyDescent="0.3">
      <c r="A1" s="22" t="s">
        <v>0</v>
      </c>
      <c r="B1" s="23" t="s">
        <v>1</v>
      </c>
      <c r="C1" s="23" t="s">
        <v>2</v>
      </c>
      <c r="D1" s="24" t="s">
        <v>3</v>
      </c>
      <c r="E1" s="23" t="s">
        <v>230</v>
      </c>
    </row>
    <row r="2" spans="1:5" x14ac:dyDescent="0.3">
      <c r="A2" s="3">
        <v>113363</v>
      </c>
      <c r="B2" s="4" t="s">
        <v>4</v>
      </c>
      <c r="C2" s="7" t="s">
        <v>5</v>
      </c>
      <c r="D2" s="4" t="s">
        <v>6</v>
      </c>
      <c r="E2" s="9" t="s">
        <v>7</v>
      </c>
    </row>
    <row r="3" spans="1:5" x14ac:dyDescent="0.3">
      <c r="A3" s="3">
        <v>120759</v>
      </c>
      <c r="B3" s="4" t="s">
        <v>8</v>
      </c>
      <c r="C3" s="7" t="s">
        <v>9</v>
      </c>
      <c r="D3" s="4" t="s">
        <v>10</v>
      </c>
      <c r="E3" s="9" t="s">
        <v>11</v>
      </c>
    </row>
    <row r="4" spans="1:5" x14ac:dyDescent="0.3">
      <c r="A4" s="3">
        <v>119491</v>
      </c>
      <c r="B4" s="4" t="s">
        <v>12</v>
      </c>
      <c r="C4" s="7" t="s">
        <v>13</v>
      </c>
      <c r="D4" s="4" t="s">
        <v>6</v>
      </c>
      <c r="E4" s="9" t="s">
        <v>7</v>
      </c>
    </row>
    <row r="5" spans="1:5" x14ac:dyDescent="0.3">
      <c r="A5" s="3">
        <v>114668</v>
      </c>
      <c r="B5" s="4" t="s">
        <v>14</v>
      </c>
      <c r="C5" s="7" t="s">
        <v>15</v>
      </c>
      <c r="D5" s="4" t="s">
        <v>15</v>
      </c>
      <c r="E5" s="9" t="s">
        <v>11</v>
      </c>
    </row>
    <row r="6" spans="1:5" x14ac:dyDescent="0.3">
      <c r="A6" s="3">
        <v>119428</v>
      </c>
      <c r="B6" s="4" t="s">
        <v>16</v>
      </c>
      <c r="C6" s="7" t="s">
        <v>17</v>
      </c>
      <c r="D6" s="4" t="s">
        <v>18</v>
      </c>
      <c r="E6" s="9" t="s">
        <v>19</v>
      </c>
    </row>
    <row r="7" spans="1:5" x14ac:dyDescent="0.3">
      <c r="A7" s="3">
        <v>118842</v>
      </c>
      <c r="B7" s="4" t="s">
        <v>20</v>
      </c>
      <c r="C7" s="7" t="s">
        <v>9</v>
      </c>
      <c r="D7" s="4" t="s">
        <v>21</v>
      </c>
      <c r="E7" s="9" t="s">
        <v>22</v>
      </c>
    </row>
    <row r="8" spans="1:5" x14ac:dyDescent="0.3">
      <c r="A8" s="3">
        <v>114811</v>
      </c>
      <c r="B8" s="4" t="s">
        <v>23</v>
      </c>
      <c r="C8" s="7" t="s">
        <v>5</v>
      </c>
      <c r="D8" s="4" t="s">
        <v>24</v>
      </c>
      <c r="E8" s="9" t="s">
        <v>11</v>
      </c>
    </row>
    <row r="9" spans="1:5" x14ac:dyDescent="0.3">
      <c r="A9" s="3">
        <v>117341</v>
      </c>
      <c r="B9" s="4" t="s">
        <v>25</v>
      </c>
      <c r="C9" s="7" t="s">
        <v>9</v>
      </c>
      <c r="D9" s="4" t="s">
        <v>10</v>
      </c>
      <c r="E9" s="9" t="s">
        <v>11</v>
      </c>
    </row>
    <row r="10" spans="1:5" x14ac:dyDescent="0.3">
      <c r="A10" s="3">
        <v>115870</v>
      </c>
      <c r="B10" s="4" t="s">
        <v>26</v>
      </c>
      <c r="C10" s="7" t="s">
        <v>27</v>
      </c>
      <c r="D10" s="4" t="s">
        <v>28</v>
      </c>
      <c r="E10" s="9" t="s">
        <v>29</v>
      </c>
    </row>
    <row r="11" spans="1:5" x14ac:dyDescent="0.3">
      <c r="A11" s="3">
        <v>119301</v>
      </c>
      <c r="B11" s="4" t="s">
        <v>30</v>
      </c>
      <c r="C11" s="7" t="s">
        <v>13</v>
      </c>
      <c r="D11" s="4" t="s">
        <v>6</v>
      </c>
      <c r="E11" s="9" t="s">
        <v>7</v>
      </c>
    </row>
    <row r="12" spans="1:5" x14ac:dyDescent="0.3">
      <c r="A12" s="3">
        <v>993521</v>
      </c>
      <c r="B12" s="4" t="s">
        <v>31</v>
      </c>
      <c r="C12" s="7" t="s">
        <v>32</v>
      </c>
      <c r="D12" s="4" t="s">
        <v>33</v>
      </c>
      <c r="E12" s="9" t="s">
        <v>34</v>
      </c>
    </row>
    <row r="13" spans="1:5" x14ac:dyDescent="0.3">
      <c r="A13" s="3">
        <v>119488</v>
      </c>
      <c r="B13" s="4" t="s">
        <v>35</v>
      </c>
      <c r="C13" s="7" t="s">
        <v>17</v>
      </c>
      <c r="D13" s="4" t="s">
        <v>18</v>
      </c>
      <c r="E13" s="9" t="s">
        <v>19</v>
      </c>
    </row>
    <row r="14" spans="1:5" x14ac:dyDescent="0.3">
      <c r="A14" s="3">
        <v>114657</v>
      </c>
      <c r="B14" s="4" t="s">
        <v>36</v>
      </c>
      <c r="C14" s="7" t="s">
        <v>9</v>
      </c>
      <c r="D14" s="4" t="s">
        <v>10</v>
      </c>
      <c r="E14" s="9" t="s">
        <v>11</v>
      </c>
    </row>
    <row r="15" spans="1:5" x14ac:dyDescent="0.3">
      <c r="A15" s="3">
        <v>119413</v>
      </c>
      <c r="B15" s="4" t="s">
        <v>37</v>
      </c>
      <c r="C15" s="7" t="s">
        <v>5</v>
      </c>
      <c r="D15" s="4" t="s">
        <v>24</v>
      </c>
      <c r="E15" s="9" t="s">
        <v>11</v>
      </c>
    </row>
    <row r="16" spans="1:5" x14ac:dyDescent="0.3">
      <c r="A16" s="3">
        <v>993326</v>
      </c>
      <c r="B16" s="4" t="s">
        <v>38</v>
      </c>
      <c r="C16" s="7" t="s">
        <v>13</v>
      </c>
      <c r="D16" s="4" t="s">
        <v>21</v>
      </c>
      <c r="E16" s="9" t="s">
        <v>22</v>
      </c>
    </row>
    <row r="17" spans="1:5" x14ac:dyDescent="0.3">
      <c r="A17" s="3">
        <v>118258</v>
      </c>
      <c r="B17" s="4" t="s">
        <v>39</v>
      </c>
      <c r="C17" s="7" t="s">
        <v>40</v>
      </c>
      <c r="D17" s="4" t="s">
        <v>41</v>
      </c>
      <c r="E17" s="9" t="s">
        <v>19</v>
      </c>
    </row>
    <row r="18" spans="1:5" x14ac:dyDescent="0.3">
      <c r="A18" s="3">
        <v>109531</v>
      </c>
      <c r="B18" s="4" t="s">
        <v>42</v>
      </c>
      <c r="C18" s="7" t="s">
        <v>9</v>
      </c>
      <c r="D18" s="4" t="s">
        <v>43</v>
      </c>
      <c r="E18" s="9" t="s">
        <v>44</v>
      </c>
    </row>
    <row r="19" spans="1:5" x14ac:dyDescent="0.3">
      <c r="A19" s="3">
        <v>114672</v>
      </c>
      <c r="B19" s="4" t="s">
        <v>45</v>
      </c>
      <c r="C19" s="7" t="s">
        <v>9</v>
      </c>
      <c r="D19" s="4" t="s">
        <v>10</v>
      </c>
      <c r="E19" s="9" t="s">
        <v>11</v>
      </c>
    </row>
    <row r="20" spans="1:5" x14ac:dyDescent="0.3">
      <c r="A20" s="3">
        <v>120663</v>
      </c>
      <c r="B20" s="4" t="s">
        <v>46</v>
      </c>
      <c r="C20" s="7" t="s">
        <v>13</v>
      </c>
      <c r="D20" s="4" t="s">
        <v>6</v>
      </c>
      <c r="E20" s="9" t="s">
        <v>7</v>
      </c>
    </row>
    <row r="21" spans="1:5" x14ac:dyDescent="0.3">
      <c r="A21" s="3">
        <v>119376</v>
      </c>
      <c r="B21" s="4" t="s">
        <v>47</v>
      </c>
      <c r="C21" s="7" t="s">
        <v>27</v>
      </c>
      <c r="D21" s="4" t="s">
        <v>28</v>
      </c>
      <c r="E21" s="9" t="s">
        <v>29</v>
      </c>
    </row>
    <row r="22" spans="1:5" x14ac:dyDescent="0.3">
      <c r="A22" s="3">
        <v>120562</v>
      </c>
      <c r="B22" s="4" t="s">
        <v>48</v>
      </c>
      <c r="C22" s="7" t="s">
        <v>27</v>
      </c>
      <c r="D22" s="4" t="s">
        <v>49</v>
      </c>
      <c r="E22" s="9" t="s">
        <v>29</v>
      </c>
    </row>
    <row r="23" spans="1:5" x14ac:dyDescent="0.3">
      <c r="A23" s="3">
        <v>113684</v>
      </c>
      <c r="B23" s="4" t="s">
        <v>50</v>
      </c>
      <c r="C23" s="7" t="s">
        <v>27</v>
      </c>
      <c r="D23" s="4" t="s">
        <v>28</v>
      </c>
      <c r="E23" s="9" t="s">
        <v>29</v>
      </c>
    </row>
    <row r="24" spans="1:5" x14ac:dyDescent="0.3">
      <c r="A24" s="3">
        <v>115705</v>
      </c>
      <c r="B24" s="4" t="s">
        <v>51</v>
      </c>
      <c r="C24" s="7" t="s">
        <v>5</v>
      </c>
      <c r="D24" s="4" t="s">
        <v>24</v>
      </c>
      <c r="E24" s="9" t="s">
        <v>11</v>
      </c>
    </row>
    <row r="25" spans="1:5" x14ac:dyDescent="0.3">
      <c r="A25" s="3">
        <v>116914</v>
      </c>
      <c r="B25" s="4" t="s">
        <v>52</v>
      </c>
      <c r="C25" s="7" t="s">
        <v>15</v>
      </c>
      <c r="D25" s="4" t="s">
        <v>15</v>
      </c>
      <c r="E25" s="9" t="s">
        <v>11</v>
      </c>
    </row>
    <row r="26" spans="1:5" x14ac:dyDescent="0.3">
      <c r="A26" s="3">
        <v>114678</v>
      </c>
      <c r="B26" s="4" t="s">
        <v>53</v>
      </c>
      <c r="C26" s="7" t="s">
        <v>15</v>
      </c>
      <c r="D26" s="4" t="s">
        <v>15</v>
      </c>
      <c r="E26" s="9" t="s">
        <v>11</v>
      </c>
    </row>
    <row r="27" spans="1:5" x14ac:dyDescent="0.3">
      <c r="A27" s="3">
        <v>112946</v>
      </c>
      <c r="B27" s="4" t="s">
        <v>54</v>
      </c>
      <c r="C27" s="7" t="s">
        <v>15</v>
      </c>
      <c r="D27" s="4" t="s">
        <v>43</v>
      </c>
      <c r="E27" s="9" t="s">
        <v>44</v>
      </c>
    </row>
    <row r="28" spans="1:5" x14ac:dyDescent="0.3">
      <c r="A28" s="3">
        <v>115534</v>
      </c>
      <c r="B28" s="4" t="s">
        <v>55</v>
      </c>
      <c r="C28" s="7" t="s">
        <v>32</v>
      </c>
      <c r="D28" s="4" t="s">
        <v>33</v>
      </c>
      <c r="E28" s="9" t="s">
        <v>34</v>
      </c>
    </row>
    <row r="29" spans="1:5" x14ac:dyDescent="0.3">
      <c r="A29" s="3">
        <v>113043</v>
      </c>
      <c r="B29" s="4" t="s">
        <v>56</v>
      </c>
      <c r="C29" s="7" t="s">
        <v>27</v>
      </c>
      <c r="D29" s="4" t="s">
        <v>28</v>
      </c>
      <c r="E29" s="9" t="s">
        <v>29</v>
      </c>
    </row>
    <row r="30" spans="1:5" x14ac:dyDescent="0.3">
      <c r="A30" s="3">
        <v>112963</v>
      </c>
      <c r="B30" s="4" t="s">
        <v>57</v>
      </c>
      <c r="C30" s="7" t="s">
        <v>27</v>
      </c>
      <c r="D30" s="4" t="s">
        <v>49</v>
      </c>
      <c r="E30" s="9" t="s">
        <v>29</v>
      </c>
    </row>
    <row r="31" spans="1:5" x14ac:dyDescent="0.3">
      <c r="A31" s="3">
        <v>115720</v>
      </c>
      <c r="B31" s="4" t="s">
        <v>58</v>
      </c>
      <c r="C31" s="7" t="s">
        <v>27</v>
      </c>
      <c r="D31" s="4" t="s">
        <v>28</v>
      </c>
      <c r="E31" s="9" t="s">
        <v>29</v>
      </c>
    </row>
    <row r="32" spans="1:5" x14ac:dyDescent="0.3">
      <c r="A32" s="3">
        <v>119378</v>
      </c>
      <c r="B32" s="4" t="s">
        <v>59</v>
      </c>
      <c r="C32" s="7" t="s">
        <v>27</v>
      </c>
      <c r="D32" s="4" t="s">
        <v>28</v>
      </c>
      <c r="E32" s="9" t="s">
        <v>29</v>
      </c>
    </row>
    <row r="33" spans="1:5" x14ac:dyDescent="0.3">
      <c r="A33" s="3">
        <v>117333</v>
      </c>
      <c r="B33" s="4" t="s">
        <v>60</v>
      </c>
      <c r="C33" s="7" t="s">
        <v>15</v>
      </c>
      <c r="D33" s="4" t="s">
        <v>15</v>
      </c>
      <c r="E33" s="9" t="s">
        <v>11</v>
      </c>
    </row>
    <row r="34" spans="1:5" x14ac:dyDescent="0.3">
      <c r="A34" s="3">
        <v>119530</v>
      </c>
      <c r="B34" s="4" t="s">
        <v>61</v>
      </c>
      <c r="C34" s="7" t="s">
        <v>5</v>
      </c>
      <c r="D34" s="4" t="s">
        <v>24</v>
      </c>
      <c r="E34" s="9" t="s">
        <v>11</v>
      </c>
    </row>
    <row r="35" spans="1:5" x14ac:dyDescent="0.3">
      <c r="A35" s="3">
        <v>119442</v>
      </c>
      <c r="B35" s="4" t="s">
        <v>62</v>
      </c>
      <c r="C35" s="7" t="s">
        <v>32</v>
      </c>
      <c r="D35" s="4" t="s">
        <v>33</v>
      </c>
      <c r="E35" s="9" t="s">
        <v>34</v>
      </c>
    </row>
    <row r="36" spans="1:5" x14ac:dyDescent="0.3">
      <c r="A36" s="3">
        <v>119382</v>
      </c>
      <c r="B36" s="4" t="s">
        <v>63</v>
      </c>
      <c r="C36" s="7" t="s">
        <v>17</v>
      </c>
      <c r="D36" s="4" t="s">
        <v>18</v>
      </c>
      <c r="E36" s="9" t="s">
        <v>19</v>
      </c>
    </row>
    <row r="37" spans="1:5" x14ac:dyDescent="0.3">
      <c r="A37" s="3">
        <v>102327</v>
      </c>
      <c r="B37" s="4" t="s">
        <v>64</v>
      </c>
      <c r="C37" s="7" t="s">
        <v>5</v>
      </c>
      <c r="D37" s="4" t="s">
        <v>65</v>
      </c>
      <c r="E37" s="9" t="s">
        <v>22</v>
      </c>
    </row>
    <row r="38" spans="1:5" x14ac:dyDescent="0.3">
      <c r="A38" s="3">
        <v>114557</v>
      </c>
      <c r="B38" s="4" t="s">
        <v>66</v>
      </c>
      <c r="C38" s="7" t="s">
        <v>9</v>
      </c>
      <c r="D38" s="4" t="s">
        <v>10</v>
      </c>
      <c r="E38" s="9" t="s">
        <v>11</v>
      </c>
    </row>
    <row r="39" spans="1:5" x14ac:dyDescent="0.3">
      <c r="A39" s="3">
        <v>119332</v>
      </c>
      <c r="B39" s="4" t="s">
        <v>67</v>
      </c>
      <c r="C39" s="7" t="s">
        <v>15</v>
      </c>
      <c r="D39" s="4" t="s">
        <v>15</v>
      </c>
      <c r="E39" s="9" t="s">
        <v>11</v>
      </c>
    </row>
    <row r="40" spans="1:5" x14ac:dyDescent="0.3">
      <c r="A40" s="3">
        <v>119153</v>
      </c>
      <c r="B40" s="4" t="s">
        <v>68</v>
      </c>
      <c r="C40" s="7" t="s">
        <v>9</v>
      </c>
      <c r="D40" s="4" t="s">
        <v>43</v>
      </c>
      <c r="E40" s="9" t="s">
        <v>44</v>
      </c>
    </row>
    <row r="41" spans="1:5" x14ac:dyDescent="0.3">
      <c r="A41" s="3">
        <v>113095</v>
      </c>
      <c r="B41" s="4" t="s">
        <v>69</v>
      </c>
      <c r="C41" s="7" t="s">
        <v>27</v>
      </c>
      <c r="D41" s="4" t="s">
        <v>28</v>
      </c>
      <c r="E41" s="9" t="s">
        <v>29</v>
      </c>
    </row>
    <row r="42" spans="1:5" x14ac:dyDescent="0.3">
      <c r="A42" s="3">
        <v>115755</v>
      </c>
      <c r="B42" s="4" t="s">
        <v>70</v>
      </c>
      <c r="C42" s="7" t="s">
        <v>27</v>
      </c>
      <c r="D42" s="4" t="s">
        <v>28</v>
      </c>
      <c r="E42" s="9" t="s">
        <v>29</v>
      </c>
    </row>
    <row r="43" spans="1:5" x14ac:dyDescent="0.3">
      <c r="A43" s="3">
        <v>112980</v>
      </c>
      <c r="B43" s="4" t="s">
        <v>71</v>
      </c>
      <c r="C43" s="7" t="s">
        <v>27</v>
      </c>
      <c r="D43" s="4" t="s">
        <v>28</v>
      </c>
      <c r="E43" s="9" t="s">
        <v>29</v>
      </c>
    </row>
    <row r="44" spans="1:5" x14ac:dyDescent="0.3">
      <c r="A44" s="3">
        <v>118920</v>
      </c>
      <c r="B44" s="4" t="s">
        <v>72</v>
      </c>
      <c r="C44" s="7" t="s">
        <v>9</v>
      </c>
      <c r="D44" s="4" t="s">
        <v>10</v>
      </c>
      <c r="E44" s="9" t="s">
        <v>11</v>
      </c>
    </row>
    <row r="45" spans="1:5" x14ac:dyDescent="0.3">
      <c r="A45" s="3">
        <v>116859</v>
      </c>
      <c r="B45" s="4" t="s">
        <v>73</v>
      </c>
      <c r="C45" s="7" t="s">
        <v>27</v>
      </c>
      <c r="D45" s="4" t="s">
        <v>28</v>
      </c>
      <c r="E45" s="9" t="s">
        <v>29</v>
      </c>
    </row>
    <row r="46" spans="1:5" x14ac:dyDescent="0.3">
      <c r="A46" s="3">
        <v>118918</v>
      </c>
      <c r="B46" s="4" t="s">
        <v>74</v>
      </c>
      <c r="C46" s="7" t="s">
        <v>5</v>
      </c>
      <c r="D46" s="4" t="s">
        <v>24</v>
      </c>
      <c r="E46" s="9" t="s">
        <v>11</v>
      </c>
    </row>
    <row r="47" spans="1:5" x14ac:dyDescent="0.3">
      <c r="A47" s="3">
        <v>117248</v>
      </c>
      <c r="B47" s="4" t="s">
        <v>75</v>
      </c>
      <c r="C47" s="7" t="s">
        <v>76</v>
      </c>
      <c r="D47" s="4" t="s">
        <v>77</v>
      </c>
      <c r="E47" s="9" t="s">
        <v>11</v>
      </c>
    </row>
    <row r="48" spans="1:5" x14ac:dyDescent="0.3">
      <c r="A48" s="3">
        <v>114850</v>
      </c>
      <c r="B48" s="4" t="s">
        <v>78</v>
      </c>
      <c r="C48" s="7" t="s">
        <v>15</v>
      </c>
      <c r="D48" s="4" t="s">
        <v>15</v>
      </c>
      <c r="E48" s="9" t="s">
        <v>11</v>
      </c>
    </row>
    <row r="49" spans="1:5" x14ac:dyDescent="0.3">
      <c r="A49" s="3">
        <v>115441</v>
      </c>
      <c r="B49" s="4" t="s">
        <v>79</v>
      </c>
      <c r="C49" s="7" t="s">
        <v>27</v>
      </c>
      <c r="D49" s="4" t="s">
        <v>28</v>
      </c>
      <c r="E49" s="9" t="s">
        <v>29</v>
      </c>
    </row>
    <row r="50" spans="1:5" x14ac:dyDescent="0.3">
      <c r="A50" s="3">
        <v>109604</v>
      </c>
      <c r="B50" s="4" t="s">
        <v>80</v>
      </c>
      <c r="C50" s="7" t="s">
        <v>27</v>
      </c>
      <c r="D50" s="4" t="s">
        <v>28</v>
      </c>
      <c r="E50" s="9" t="s">
        <v>29</v>
      </c>
    </row>
    <row r="51" spans="1:5" x14ac:dyDescent="0.3">
      <c r="A51" s="3">
        <v>121149</v>
      </c>
      <c r="B51" s="4" t="s">
        <v>81</v>
      </c>
      <c r="C51" s="7" t="s">
        <v>27</v>
      </c>
      <c r="D51" s="4" t="s">
        <v>28</v>
      </c>
      <c r="E51" s="9" t="s">
        <v>29</v>
      </c>
    </row>
    <row r="52" spans="1:5" x14ac:dyDescent="0.3">
      <c r="A52" s="3">
        <v>111117</v>
      </c>
      <c r="B52" s="4" t="s">
        <v>82</v>
      </c>
      <c r="C52" s="7" t="s">
        <v>15</v>
      </c>
      <c r="D52" s="4" t="s">
        <v>21</v>
      </c>
      <c r="E52" s="9" t="s">
        <v>22</v>
      </c>
    </row>
    <row r="53" spans="1:5" x14ac:dyDescent="0.3">
      <c r="A53" s="3">
        <v>114661</v>
      </c>
      <c r="B53" s="4" t="s">
        <v>83</v>
      </c>
      <c r="C53" s="7" t="s">
        <v>9</v>
      </c>
      <c r="D53" s="4" t="s">
        <v>10</v>
      </c>
      <c r="E53" s="9" t="s">
        <v>11</v>
      </c>
    </row>
    <row r="54" spans="1:5" x14ac:dyDescent="0.3">
      <c r="A54" s="3">
        <v>118270</v>
      </c>
      <c r="B54" s="4" t="s">
        <v>84</v>
      </c>
      <c r="C54" s="7" t="s">
        <v>9</v>
      </c>
      <c r="D54" s="4" t="s">
        <v>10</v>
      </c>
      <c r="E54" s="9" t="s">
        <v>11</v>
      </c>
    </row>
    <row r="55" spans="1:5" x14ac:dyDescent="0.3">
      <c r="A55" s="3">
        <v>121060</v>
      </c>
      <c r="B55" s="4" t="s">
        <v>85</v>
      </c>
      <c r="C55" s="7" t="s">
        <v>27</v>
      </c>
      <c r="D55" s="4" t="s">
        <v>28</v>
      </c>
      <c r="E55" s="9" t="s">
        <v>29</v>
      </c>
    </row>
    <row r="56" spans="1:5" x14ac:dyDescent="0.3">
      <c r="A56" s="3">
        <v>117018</v>
      </c>
      <c r="B56" s="4" t="s">
        <v>86</v>
      </c>
      <c r="C56" s="7" t="s">
        <v>27</v>
      </c>
      <c r="D56" s="4" t="s">
        <v>49</v>
      </c>
      <c r="E56" s="9" t="s">
        <v>29</v>
      </c>
    </row>
    <row r="57" spans="1:5" x14ac:dyDescent="0.3">
      <c r="A57" s="3">
        <v>119136</v>
      </c>
      <c r="B57" s="4" t="s">
        <v>87</v>
      </c>
      <c r="C57" s="7" t="s">
        <v>15</v>
      </c>
      <c r="D57" s="4" t="s">
        <v>15</v>
      </c>
      <c r="E57" s="9" t="s">
        <v>11</v>
      </c>
    </row>
    <row r="58" spans="1:5" x14ac:dyDescent="0.3">
      <c r="A58" s="3">
        <v>118497</v>
      </c>
      <c r="B58" s="4" t="s">
        <v>88</v>
      </c>
      <c r="C58" s="7" t="s">
        <v>15</v>
      </c>
      <c r="D58" s="4" t="s">
        <v>43</v>
      </c>
      <c r="E58" s="9" t="s">
        <v>44</v>
      </c>
    </row>
    <row r="59" spans="1:5" x14ac:dyDescent="0.3">
      <c r="A59" s="3">
        <v>114724</v>
      </c>
      <c r="B59" s="4" t="s">
        <v>89</v>
      </c>
      <c r="C59" s="7" t="s">
        <v>9</v>
      </c>
      <c r="D59" s="4" t="s">
        <v>10</v>
      </c>
      <c r="E59" s="9" t="s">
        <v>11</v>
      </c>
    </row>
    <row r="60" spans="1:5" x14ac:dyDescent="0.3">
      <c r="A60" s="3">
        <v>118893</v>
      </c>
      <c r="B60" s="4" t="s">
        <v>90</v>
      </c>
      <c r="C60" s="7" t="s">
        <v>5</v>
      </c>
      <c r="D60" s="4" t="s">
        <v>24</v>
      </c>
      <c r="E60" s="9" t="s">
        <v>11</v>
      </c>
    </row>
    <row r="61" spans="1:5" x14ac:dyDescent="0.3">
      <c r="A61" s="3">
        <v>114683</v>
      </c>
      <c r="B61" s="4" t="s">
        <v>91</v>
      </c>
      <c r="C61" s="7" t="s">
        <v>9</v>
      </c>
      <c r="D61" s="4" t="s">
        <v>10</v>
      </c>
      <c r="E61" s="9" t="s">
        <v>11</v>
      </c>
    </row>
    <row r="62" spans="1:5" x14ac:dyDescent="0.3">
      <c r="A62" s="3">
        <v>115642</v>
      </c>
      <c r="B62" s="4" t="s">
        <v>92</v>
      </c>
      <c r="C62" s="7" t="s">
        <v>93</v>
      </c>
      <c r="D62" s="4" t="s">
        <v>94</v>
      </c>
      <c r="E62" s="9" t="s">
        <v>34</v>
      </c>
    </row>
    <row r="63" spans="1:5" x14ac:dyDescent="0.3">
      <c r="A63" s="3">
        <v>117326</v>
      </c>
      <c r="B63" s="4" t="s">
        <v>95</v>
      </c>
      <c r="C63" s="7" t="s">
        <v>5</v>
      </c>
      <c r="D63" s="4" t="s">
        <v>24</v>
      </c>
      <c r="E63" s="9" t="s">
        <v>11</v>
      </c>
    </row>
    <row r="64" spans="1:5" x14ac:dyDescent="0.3">
      <c r="A64" s="3">
        <v>119601</v>
      </c>
      <c r="B64" s="4" t="s">
        <v>96</v>
      </c>
      <c r="C64" s="7" t="s">
        <v>32</v>
      </c>
      <c r="D64" s="4" t="s">
        <v>33</v>
      </c>
      <c r="E64" s="9" t="s">
        <v>34</v>
      </c>
    </row>
    <row r="65" spans="1:5" x14ac:dyDescent="0.3">
      <c r="A65" s="3">
        <v>120205</v>
      </c>
      <c r="B65" s="4" t="s">
        <v>97</v>
      </c>
      <c r="C65" s="7" t="s">
        <v>17</v>
      </c>
      <c r="D65" s="4" t="s">
        <v>18</v>
      </c>
      <c r="E65" s="9" t="s">
        <v>19</v>
      </c>
    </row>
    <row r="66" spans="1:5" x14ac:dyDescent="0.3">
      <c r="A66" s="3">
        <v>119477</v>
      </c>
      <c r="B66" s="4" t="s">
        <v>98</v>
      </c>
      <c r="C66" s="7" t="s">
        <v>27</v>
      </c>
      <c r="D66" s="4" t="s">
        <v>49</v>
      </c>
      <c r="E66" s="9" t="s">
        <v>29</v>
      </c>
    </row>
    <row r="67" spans="1:5" x14ac:dyDescent="0.3">
      <c r="A67" s="3">
        <v>119249</v>
      </c>
      <c r="B67" s="4" t="s">
        <v>99</v>
      </c>
      <c r="C67" s="7" t="s">
        <v>13</v>
      </c>
      <c r="D67" s="4" t="s">
        <v>6</v>
      </c>
      <c r="E67" s="9" t="s">
        <v>7</v>
      </c>
    </row>
    <row r="68" spans="1:5" x14ac:dyDescent="0.3">
      <c r="A68" s="3">
        <v>118235</v>
      </c>
      <c r="B68" s="4" t="s">
        <v>100</v>
      </c>
      <c r="C68" s="7" t="s">
        <v>15</v>
      </c>
      <c r="D68" s="4" t="s">
        <v>15</v>
      </c>
      <c r="E68" s="9" t="s">
        <v>11</v>
      </c>
    </row>
    <row r="69" spans="1:5" x14ac:dyDescent="0.3">
      <c r="A69" s="3">
        <v>120694</v>
      </c>
      <c r="B69" s="4" t="s">
        <v>101</v>
      </c>
      <c r="C69" s="7" t="s">
        <v>9</v>
      </c>
      <c r="D69" s="4" t="s">
        <v>10</v>
      </c>
      <c r="E69" s="9" t="s">
        <v>11</v>
      </c>
    </row>
    <row r="70" spans="1:5" x14ac:dyDescent="0.3">
      <c r="A70" s="3">
        <v>120700</v>
      </c>
      <c r="B70" s="4" t="s">
        <v>102</v>
      </c>
      <c r="C70" s="7" t="s">
        <v>9</v>
      </c>
      <c r="D70" s="4" t="s">
        <v>10</v>
      </c>
      <c r="E70" s="9" t="s">
        <v>11</v>
      </c>
    </row>
    <row r="71" spans="1:5" x14ac:dyDescent="0.3">
      <c r="A71" s="3">
        <v>117319</v>
      </c>
      <c r="B71" s="4" t="s">
        <v>103</v>
      </c>
      <c r="C71" s="7" t="s">
        <v>15</v>
      </c>
      <c r="D71" s="4" t="s">
        <v>15</v>
      </c>
      <c r="E71" s="9" t="s">
        <v>11</v>
      </c>
    </row>
    <row r="72" spans="1:5" x14ac:dyDescent="0.3">
      <c r="A72" s="3">
        <v>115606</v>
      </c>
      <c r="B72" s="4" t="s">
        <v>104</v>
      </c>
      <c r="C72" s="7" t="s">
        <v>105</v>
      </c>
      <c r="D72" s="4" t="s">
        <v>106</v>
      </c>
      <c r="E72" s="9" t="s">
        <v>19</v>
      </c>
    </row>
    <row r="73" spans="1:5" x14ac:dyDescent="0.3">
      <c r="A73" s="3">
        <v>109078</v>
      </c>
      <c r="B73" s="4" t="s">
        <v>107</v>
      </c>
      <c r="C73" s="7" t="s">
        <v>15</v>
      </c>
      <c r="D73" s="4" t="s">
        <v>108</v>
      </c>
      <c r="E73" s="9" t="s">
        <v>22</v>
      </c>
    </row>
    <row r="74" spans="1:5" x14ac:dyDescent="0.3">
      <c r="A74" s="3">
        <v>114652</v>
      </c>
      <c r="B74" s="4" t="s">
        <v>109</v>
      </c>
      <c r="C74" s="7" t="s">
        <v>9</v>
      </c>
      <c r="D74" s="4" t="s">
        <v>10</v>
      </c>
      <c r="E74" s="9" t="s">
        <v>11</v>
      </c>
    </row>
    <row r="75" spans="1:5" x14ac:dyDescent="0.3">
      <c r="A75" s="3">
        <v>119432</v>
      </c>
      <c r="B75" s="4" t="s">
        <v>110</v>
      </c>
      <c r="C75" s="7" t="s">
        <v>40</v>
      </c>
      <c r="D75" s="4" t="s">
        <v>41</v>
      </c>
      <c r="E75" s="9" t="s">
        <v>19</v>
      </c>
    </row>
    <row r="76" spans="1:5" x14ac:dyDescent="0.3">
      <c r="A76" s="3">
        <v>116876</v>
      </c>
      <c r="B76" s="4" t="s">
        <v>111</v>
      </c>
      <c r="C76" s="7" t="s">
        <v>5</v>
      </c>
      <c r="D76" s="4" t="s">
        <v>43</v>
      </c>
      <c r="E76" s="9" t="s">
        <v>44</v>
      </c>
    </row>
    <row r="77" spans="1:5" x14ac:dyDescent="0.3">
      <c r="A77" s="3">
        <v>119466</v>
      </c>
      <c r="B77" s="4" t="s">
        <v>112</v>
      </c>
      <c r="C77" s="7" t="s">
        <v>40</v>
      </c>
      <c r="D77" s="4" t="s">
        <v>41</v>
      </c>
      <c r="E77" s="9" t="s">
        <v>19</v>
      </c>
    </row>
    <row r="78" spans="1:5" x14ac:dyDescent="0.3">
      <c r="A78" s="3">
        <v>117081</v>
      </c>
      <c r="B78" s="4" t="s">
        <v>113</v>
      </c>
      <c r="C78" s="7" t="s">
        <v>15</v>
      </c>
      <c r="D78" s="4" t="s">
        <v>15</v>
      </c>
      <c r="E78" s="9" t="s">
        <v>11</v>
      </c>
    </row>
    <row r="79" spans="1:5" x14ac:dyDescent="0.3">
      <c r="A79" s="3">
        <v>120794</v>
      </c>
      <c r="B79" s="4" t="s">
        <v>114</v>
      </c>
      <c r="C79" s="7" t="s">
        <v>115</v>
      </c>
      <c r="D79" s="4" t="s">
        <v>116</v>
      </c>
      <c r="E79" s="9" t="s">
        <v>19</v>
      </c>
    </row>
    <row r="80" spans="1:5" x14ac:dyDescent="0.3">
      <c r="A80" s="3">
        <v>112916</v>
      </c>
      <c r="B80" s="4" t="s">
        <v>117</v>
      </c>
      <c r="C80" s="7" t="s">
        <v>27</v>
      </c>
      <c r="D80" s="4" t="s">
        <v>28</v>
      </c>
      <c r="E80" s="9" t="s">
        <v>29</v>
      </c>
    </row>
    <row r="81" spans="1:5" x14ac:dyDescent="0.3">
      <c r="A81" s="3">
        <v>119548</v>
      </c>
      <c r="B81" s="4" t="s">
        <v>118</v>
      </c>
      <c r="C81" s="7" t="s">
        <v>15</v>
      </c>
      <c r="D81" s="4" t="s">
        <v>15</v>
      </c>
      <c r="E81" s="9" t="s">
        <v>11</v>
      </c>
    </row>
    <row r="82" spans="1:5" x14ac:dyDescent="0.3">
      <c r="A82" s="3">
        <v>117348</v>
      </c>
      <c r="B82" s="4" t="s">
        <v>119</v>
      </c>
      <c r="C82" s="7" t="s">
        <v>15</v>
      </c>
      <c r="D82" s="4" t="s">
        <v>43</v>
      </c>
      <c r="E82" s="9" t="s">
        <v>44</v>
      </c>
    </row>
    <row r="83" spans="1:5" x14ac:dyDescent="0.3">
      <c r="A83" s="3">
        <v>102302</v>
      </c>
      <c r="B83" s="4" t="s">
        <v>120</v>
      </c>
      <c r="C83" s="7" t="s">
        <v>5</v>
      </c>
      <c r="D83" s="4" t="s">
        <v>108</v>
      </c>
      <c r="E83" s="9" t="s">
        <v>22</v>
      </c>
    </row>
    <row r="84" spans="1:5" x14ac:dyDescent="0.3">
      <c r="A84" s="3">
        <v>119102</v>
      </c>
      <c r="B84" s="4" t="s">
        <v>121</v>
      </c>
      <c r="C84" s="7" t="s">
        <v>5</v>
      </c>
      <c r="D84" s="4" t="s">
        <v>24</v>
      </c>
      <c r="E84" s="9" t="s">
        <v>11</v>
      </c>
    </row>
    <row r="85" spans="1:5" x14ac:dyDescent="0.3">
      <c r="A85" s="3">
        <v>115711</v>
      </c>
      <c r="B85" s="4" t="s">
        <v>122</v>
      </c>
      <c r="C85" s="7" t="s">
        <v>5</v>
      </c>
      <c r="D85" s="4" t="s">
        <v>43</v>
      </c>
      <c r="E85" s="9" t="s">
        <v>44</v>
      </c>
    </row>
    <row r="86" spans="1:5" x14ac:dyDescent="0.3">
      <c r="A86" s="3">
        <v>101367</v>
      </c>
      <c r="B86" s="4" t="s">
        <v>123</v>
      </c>
      <c r="C86" s="7" t="s">
        <v>5</v>
      </c>
      <c r="D86" s="4" t="s">
        <v>21</v>
      </c>
      <c r="E86" s="9" t="s">
        <v>22</v>
      </c>
    </row>
    <row r="87" spans="1:5" x14ac:dyDescent="0.3">
      <c r="A87" s="3">
        <v>115032</v>
      </c>
      <c r="B87" s="4" t="s">
        <v>124</v>
      </c>
      <c r="C87" s="7" t="s">
        <v>5</v>
      </c>
      <c r="D87" s="4" t="s">
        <v>108</v>
      </c>
      <c r="E87" s="9" t="s">
        <v>22</v>
      </c>
    </row>
    <row r="88" spans="1:5" x14ac:dyDescent="0.3">
      <c r="A88" s="3">
        <v>119576</v>
      </c>
      <c r="B88" s="4" t="s">
        <v>125</v>
      </c>
      <c r="C88" s="7" t="s">
        <v>40</v>
      </c>
      <c r="D88" s="4" t="s">
        <v>41</v>
      </c>
      <c r="E88" s="9" t="s">
        <v>19</v>
      </c>
    </row>
    <row r="89" spans="1:5" x14ac:dyDescent="0.3">
      <c r="A89" s="3">
        <v>119547</v>
      </c>
      <c r="B89" s="4" t="s">
        <v>126</v>
      </c>
      <c r="C89" s="7" t="s">
        <v>15</v>
      </c>
      <c r="D89" s="4" t="s">
        <v>15</v>
      </c>
      <c r="E89" s="9" t="s">
        <v>11</v>
      </c>
    </row>
    <row r="90" spans="1:5" x14ac:dyDescent="0.3">
      <c r="A90" s="3">
        <v>119329</v>
      </c>
      <c r="B90" s="4" t="s">
        <v>127</v>
      </c>
      <c r="C90" s="7" t="s">
        <v>5</v>
      </c>
      <c r="D90" s="4" t="s">
        <v>24</v>
      </c>
      <c r="E90" s="9" t="s">
        <v>11</v>
      </c>
    </row>
    <row r="91" spans="1:5" x14ac:dyDescent="0.3">
      <c r="A91" s="3">
        <v>119360</v>
      </c>
      <c r="B91" s="4" t="s">
        <v>128</v>
      </c>
      <c r="C91" s="7" t="s">
        <v>40</v>
      </c>
      <c r="D91" s="4" t="s">
        <v>41</v>
      </c>
      <c r="E91" s="9" t="s">
        <v>19</v>
      </c>
    </row>
    <row r="92" spans="1:5" x14ac:dyDescent="0.3">
      <c r="A92" s="3">
        <v>115275</v>
      </c>
      <c r="B92" s="4" t="s">
        <v>129</v>
      </c>
      <c r="C92" s="7" t="s">
        <v>9</v>
      </c>
      <c r="D92" s="4" t="s">
        <v>65</v>
      </c>
      <c r="E92" s="9" t="s">
        <v>22</v>
      </c>
    </row>
    <row r="93" spans="1:5" x14ac:dyDescent="0.3">
      <c r="A93" s="3">
        <v>113524</v>
      </c>
      <c r="B93" s="4" t="s">
        <v>130</v>
      </c>
      <c r="C93" s="7" t="s">
        <v>15</v>
      </c>
      <c r="D93" s="4" t="s">
        <v>65</v>
      </c>
      <c r="E93" s="9" t="s">
        <v>22</v>
      </c>
    </row>
    <row r="94" spans="1:5" x14ac:dyDescent="0.3">
      <c r="A94" s="3">
        <v>108997</v>
      </c>
      <c r="B94" s="4" t="s">
        <v>131</v>
      </c>
      <c r="C94" s="7" t="s">
        <v>27</v>
      </c>
      <c r="D94" s="4" t="s">
        <v>28</v>
      </c>
      <c r="E94" s="9" t="s">
        <v>29</v>
      </c>
    </row>
    <row r="95" spans="1:5" x14ac:dyDescent="0.3">
      <c r="A95" s="3">
        <v>114675</v>
      </c>
      <c r="B95" s="4" t="s">
        <v>132</v>
      </c>
      <c r="C95" s="7" t="s">
        <v>27</v>
      </c>
      <c r="D95" s="4" t="s">
        <v>28</v>
      </c>
      <c r="E95" s="9" t="s">
        <v>29</v>
      </c>
    </row>
    <row r="96" spans="1:5" x14ac:dyDescent="0.3">
      <c r="A96" s="3">
        <v>115634</v>
      </c>
      <c r="B96" s="4" t="s">
        <v>133</v>
      </c>
      <c r="C96" s="7" t="s">
        <v>32</v>
      </c>
      <c r="D96" s="4" t="s">
        <v>33</v>
      </c>
      <c r="E96" s="9" t="s">
        <v>34</v>
      </c>
    </row>
    <row r="97" spans="1:5" x14ac:dyDescent="0.3">
      <c r="A97" s="3">
        <v>106743</v>
      </c>
      <c r="B97" s="4" t="s">
        <v>134</v>
      </c>
      <c r="C97" s="7" t="s">
        <v>135</v>
      </c>
      <c r="D97" s="4" t="s">
        <v>136</v>
      </c>
      <c r="E97" s="9" t="s">
        <v>137</v>
      </c>
    </row>
    <row r="98" spans="1:5" x14ac:dyDescent="0.3">
      <c r="A98" s="3">
        <v>579069</v>
      </c>
      <c r="B98" s="4" t="s">
        <v>138</v>
      </c>
      <c r="C98" s="7" t="s">
        <v>32</v>
      </c>
      <c r="D98" s="4" t="s">
        <v>33</v>
      </c>
      <c r="E98" s="9" t="s">
        <v>34</v>
      </c>
    </row>
    <row r="99" spans="1:5" x14ac:dyDescent="0.3">
      <c r="A99" s="3">
        <v>108650</v>
      </c>
      <c r="B99" s="4" t="s">
        <v>139</v>
      </c>
      <c r="C99" s="7" t="s">
        <v>27</v>
      </c>
      <c r="D99" s="4" t="s">
        <v>49</v>
      </c>
      <c r="E99" s="9" t="s">
        <v>29</v>
      </c>
    </row>
    <row r="100" spans="1:5" x14ac:dyDescent="0.3">
      <c r="A100" s="3">
        <v>114676</v>
      </c>
      <c r="B100" s="4" t="s">
        <v>140</v>
      </c>
      <c r="C100" s="7" t="s">
        <v>9</v>
      </c>
      <c r="D100" s="4" t="s">
        <v>10</v>
      </c>
      <c r="E100" s="9" t="s">
        <v>11</v>
      </c>
    </row>
    <row r="101" spans="1:5" x14ac:dyDescent="0.3">
      <c r="A101" s="3">
        <v>119524</v>
      </c>
      <c r="B101" s="4" t="s">
        <v>141</v>
      </c>
      <c r="C101" s="7" t="s">
        <v>9</v>
      </c>
      <c r="D101" s="4" t="s">
        <v>108</v>
      </c>
      <c r="E101" s="9" t="s">
        <v>22</v>
      </c>
    </row>
    <row r="102" spans="1:5" x14ac:dyDescent="0.3">
      <c r="A102" s="3">
        <v>109593</v>
      </c>
      <c r="B102" s="4" t="s">
        <v>142</v>
      </c>
      <c r="C102" s="7" t="s">
        <v>27</v>
      </c>
      <c r="D102" s="4" t="s">
        <v>28</v>
      </c>
      <c r="E102" s="9" t="s">
        <v>29</v>
      </c>
    </row>
    <row r="103" spans="1:5" x14ac:dyDescent="0.3">
      <c r="A103" s="3">
        <v>114788</v>
      </c>
      <c r="B103" s="4" t="s">
        <v>143</v>
      </c>
      <c r="C103" s="7" t="s">
        <v>15</v>
      </c>
      <c r="D103" s="4" t="s">
        <v>15</v>
      </c>
      <c r="E103" s="9" t="s">
        <v>11</v>
      </c>
    </row>
    <row r="104" spans="1:5" x14ac:dyDescent="0.3">
      <c r="A104" s="3">
        <v>118832</v>
      </c>
      <c r="B104" s="4" t="s">
        <v>144</v>
      </c>
      <c r="C104" s="7" t="s">
        <v>115</v>
      </c>
      <c r="D104" s="4" t="s">
        <v>116</v>
      </c>
      <c r="E104" s="9" t="s">
        <v>19</v>
      </c>
    </row>
    <row r="105" spans="1:5" x14ac:dyDescent="0.3">
      <c r="A105" s="3">
        <v>113361</v>
      </c>
      <c r="B105" s="4" t="s">
        <v>145</v>
      </c>
      <c r="C105" s="7" t="s">
        <v>5</v>
      </c>
      <c r="D105" s="4" t="s">
        <v>43</v>
      </c>
      <c r="E105" s="9" t="s">
        <v>44</v>
      </c>
    </row>
    <row r="106" spans="1:5" x14ac:dyDescent="0.3">
      <c r="A106" s="3">
        <v>119563</v>
      </c>
      <c r="B106" s="4" t="s">
        <v>146</v>
      </c>
      <c r="C106" s="7" t="s">
        <v>115</v>
      </c>
      <c r="D106" s="4" t="s">
        <v>116</v>
      </c>
      <c r="E106" s="9" t="s">
        <v>19</v>
      </c>
    </row>
    <row r="107" spans="1:5" x14ac:dyDescent="0.3">
      <c r="A107" s="3">
        <v>118822</v>
      </c>
      <c r="B107" s="4" t="s">
        <v>147</v>
      </c>
      <c r="C107" s="7" t="s">
        <v>27</v>
      </c>
      <c r="D107" s="4" t="s">
        <v>49</v>
      </c>
      <c r="E107" s="9" t="s">
        <v>29</v>
      </c>
    </row>
    <row r="108" spans="1:5" x14ac:dyDescent="0.3">
      <c r="A108" s="3">
        <v>110822</v>
      </c>
      <c r="B108" s="4" t="s">
        <v>148</v>
      </c>
      <c r="C108" s="7" t="s">
        <v>27</v>
      </c>
      <c r="D108" s="4" t="s">
        <v>49</v>
      </c>
      <c r="E108" s="9" t="s">
        <v>29</v>
      </c>
    </row>
    <row r="109" spans="1:5" x14ac:dyDescent="0.3">
      <c r="A109" s="3">
        <v>110842</v>
      </c>
      <c r="B109" s="4" t="s">
        <v>149</v>
      </c>
      <c r="C109" s="7" t="s">
        <v>27</v>
      </c>
      <c r="D109" s="4" t="s">
        <v>28</v>
      </c>
      <c r="E109" s="9" t="s">
        <v>29</v>
      </c>
    </row>
    <row r="110" spans="1:5" x14ac:dyDescent="0.3">
      <c r="A110" s="3">
        <v>118868</v>
      </c>
      <c r="B110" s="4" t="s">
        <v>150</v>
      </c>
      <c r="C110" s="7" t="s">
        <v>15</v>
      </c>
      <c r="D110" s="4" t="s">
        <v>15</v>
      </c>
      <c r="E110" s="9" t="s">
        <v>11</v>
      </c>
    </row>
    <row r="111" spans="1:5" x14ac:dyDescent="0.3">
      <c r="A111" s="3">
        <v>119526</v>
      </c>
      <c r="B111" s="4" t="s">
        <v>151</v>
      </c>
      <c r="C111" s="7" t="s">
        <v>15</v>
      </c>
      <c r="D111" s="4" t="s">
        <v>15</v>
      </c>
      <c r="E111" s="9" t="s">
        <v>11</v>
      </c>
    </row>
    <row r="112" spans="1:5" x14ac:dyDescent="0.3">
      <c r="A112" s="3">
        <v>120192</v>
      </c>
      <c r="B112" s="4" t="s">
        <v>152</v>
      </c>
      <c r="C112" s="7" t="s">
        <v>9</v>
      </c>
      <c r="D112" s="4" t="s">
        <v>10</v>
      </c>
      <c r="E112" s="9" t="s">
        <v>11</v>
      </c>
    </row>
    <row r="113" spans="1:5" x14ac:dyDescent="0.3">
      <c r="A113" s="3">
        <v>116890</v>
      </c>
      <c r="B113" s="4" t="s">
        <v>153</v>
      </c>
      <c r="C113" s="7" t="s">
        <v>9</v>
      </c>
      <c r="D113" s="4" t="s">
        <v>43</v>
      </c>
      <c r="E113" s="9" t="s">
        <v>44</v>
      </c>
    </row>
    <row r="114" spans="1:5" x14ac:dyDescent="0.3">
      <c r="A114" s="3">
        <v>120723</v>
      </c>
      <c r="B114" s="4" t="s">
        <v>154</v>
      </c>
      <c r="C114" s="7" t="s">
        <v>27</v>
      </c>
      <c r="D114" s="4" t="s">
        <v>49</v>
      </c>
      <c r="E114" s="9" t="s">
        <v>29</v>
      </c>
    </row>
    <row r="115" spans="1:5" x14ac:dyDescent="0.3">
      <c r="A115" s="3">
        <v>115594</v>
      </c>
      <c r="B115" s="4" t="s">
        <v>155</v>
      </c>
      <c r="C115" s="7" t="s">
        <v>5</v>
      </c>
      <c r="D115" s="4" t="s">
        <v>6</v>
      </c>
      <c r="E115" s="9" t="s">
        <v>7</v>
      </c>
    </row>
    <row r="116" spans="1:5" x14ac:dyDescent="0.3">
      <c r="A116" s="3">
        <v>119443</v>
      </c>
      <c r="B116" s="4" t="s">
        <v>156</v>
      </c>
      <c r="C116" s="7" t="s">
        <v>27</v>
      </c>
      <c r="D116" s="4" t="s">
        <v>28</v>
      </c>
      <c r="E116" s="9" t="s">
        <v>29</v>
      </c>
    </row>
    <row r="117" spans="1:5" x14ac:dyDescent="0.3">
      <c r="A117" s="3">
        <v>116986</v>
      </c>
      <c r="B117" s="4" t="s">
        <v>157</v>
      </c>
      <c r="C117" s="7" t="s">
        <v>27</v>
      </c>
      <c r="D117" s="4" t="s">
        <v>49</v>
      </c>
      <c r="E117" s="9" t="s">
        <v>29</v>
      </c>
    </row>
    <row r="118" spans="1:5" x14ac:dyDescent="0.3">
      <c r="A118" s="3">
        <v>103255</v>
      </c>
      <c r="B118" s="4" t="s">
        <v>158</v>
      </c>
      <c r="C118" s="7" t="s">
        <v>27</v>
      </c>
      <c r="D118" s="4" t="s">
        <v>28</v>
      </c>
      <c r="E118" s="9" t="s">
        <v>29</v>
      </c>
    </row>
    <row r="119" spans="1:5" x14ac:dyDescent="0.3">
      <c r="A119" s="3">
        <v>113346</v>
      </c>
      <c r="B119" s="4" t="s">
        <v>159</v>
      </c>
      <c r="C119" s="7" t="s">
        <v>15</v>
      </c>
      <c r="D119" s="4" t="s">
        <v>15</v>
      </c>
      <c r="E119" s="9" t="s">
        <v>11</v>
      </c>
    </row>
    <row r="120" spans="1:5" x14ac:dyDescent="0.3">
      <c r="A120" s="3">
        <v>116898</v>
      </c>
      <c r="B120" s="4" t="s">
        <v>160</v>
      </c>
      <c r="C120" s="7" t="s">
        <v>27</v>
      </c>
      <c r="D120" s="4" t="s">
        <v>28</v>
      </c>
      <c r="E120" s="9" t="s">
        <v>29</v>
      </c>
    </row>
    <row r="121" spans="1:5" x14ac:dyDescent="0.3">
      <c r="A121" s="3">
        <v>114656</v>
      </c>
      <c r="B121" s="4" t="s">
        <v>161</v>
      </c>
      <c r="C121" s="7" t="s">
        <v>15</v>
      </c>
      <c r="D121" s="4" t="s">
        <v>15</v>
      </c>
      <c r="E121" s="9" t="s">
        <v>11</v>
      </c>
    </row>
    <row r="122" spans="1:5" x14ac:dyDescent="0.3">
      <c r="A122" s="3">
        <v>120922</v>
      </c>
      <c r="B122" s="4" t="s">
        <v>162</v>
      </c>
      <c r="C122" s="7" t="s">
        <v>27</v>
      </c>
      <c r="D122" s="4" t="s">
        <v>49</v>
      </c>
      <c r="E122" s="9" t="s">
        <v>29</v>
      </c>
    </row>
    <row r="123" spans="1:5" x14ac:dyDescent="0.3">
      <c r="A123" s="3">
        <v>114677</v>
      </c>
      <c r="B123" s="4" t="s">
        <v>163</v>
      </c>
      <c r="C123" s="7" t="s">
        <v>9</v>
      </c>
      <c r="D123" s="4" t="s">
        <v>10</v>
      </c>
      <c r="E123" s="9" t="s">
        <v>11</v>
      </c>
    </row>
    <row r="124" spans="1:5" x14ac:dyDescent="0.3">
      <c r="A124" s="3">
        <v>113143</v>
      </c>
      <c r="B124" s="4" t="s">
        <v>164</v>
      </c>
      <c r="C124" s="7" t="s">
        <v>27</v>
      </c>
      <c r="D124" s="4" t="s">
        <v>28</v>
      </c>
      <c r="E124" s="9" t="s">
        <v>29</v>
      </c>
    </row>
    <row r="125" spans="1:5" x14ac:dyDescent="0.3">
      <c r="A125" s="3">
        <v>117100</v>
      </c>
      <c r="B125" s="4" t="s">
        <v>165</v>
      </c>
      <c r="C125" s="7" t="s">
        <v>9</v>
      </c>
      <c r="D125" s="4" t="s">
        <v>166</v>
      </c>
      <c r="E125" s="9" t="s">
        <v>11</v>
      </c>
    </row>
    <row r="126" spans="1:5" x14ac:dyDescent="0.3">
      <c r="A126" s="3">
        <v>119408</v>
      </c>
      <c r="B126" s="4" t="s">
        <v>167</v>
      </c>
      <c r="C126" s="7" t="s">
        <v>9</v>
      </c>
      <c r="D126" s="4" t="s">
        <v>10</v>
      </c>
      <c r="E126" s="9" t="s">
        <v>11</v>
      </c>
    </row>
    <row r="127" spans="1:5" x14ac:dyDescent="0.3">
      <c r="A127" s="3">
        <v>117289</v>
      </c>
      <c r="B127" s="4" t="s">
        <v>168</v>
      </c>
      <c r="C127" s="7" t="s">
        <v>15</v>
      </c>
      <c r="D127" s="4" t="s">
        <v>15</v>
      </c>
      <c r="E127" s="9" t="s">
        <v>11</v>
      </c>
    </row>
    <row r="128" spans="1:5" x14ac:dyDescent="0.3">
      <c r="A128" s="3">
        <v>993425</v>
      </c>
      <c r="B128" s="4" t="s">
        <v>169</v>
      </c>
      <c r="C128" s="7" t="s">
        <v>15</v>
      </c>
      <c r="D128" s="4" t="s">
        <v>15</v>
      </c>
      <c r="E128" s="9" t="s">
        <v>11</v>
      </c>
    </row>
    <row r="129" spans="1:5" x14ac:dyDescent="0.3">
      <c r="A129" s="3">
        <v>121093</v>
      </c>
      <c r="B129" s="4" t="s">
        <v>170</v>
      </c>
      <c r="C129" s="7" t="s">
        <v>9</v>
      </c>
      <c r="D129" s="4" t="s">
        <v>10</v>
      </c>
      <c r="E129" s="9" t="s">
        <v>11</v>
      </c>
    </row>
    <row r="130" spans="1:5" x14ac:dyDescent="0.3">
      <c r="A130" s="3" t="s">
        <v>171</v>
      </c>
      <c r="B130" s="4" t="s">
        <v>172</v>
      </c>
      <c r="C130" s="7" t="s">
        <v>9</v>
      </c>
      <c r="D130" s="4" t="s">
        <v>10</v>
      </c>
      <c r="E130" s="9" t="s">
        <v>11</v>
      </c>
    </row>
    <row r="131" spans="1:5" x14ac:dyDescent="0.3">
      <c r="A131" s="3">
        <v>118924</v>
      </c>
      <c r="B131" s="4" t="s">
        <v>173</v>
      </c>
      <c r="C131" s="7" t="s">
        <v>9</v>
      </c>
      <c r="D131" s="4" t="s">
        <v>10</v>
      </c>
      <c r="E131" s="9" t="s">
        <v>11</v>
      </c>
    </row>
    <row r="132" spans="1:5" x14ac:dyDescent="0.3">
      <c r="A132" s="3">
        <v>118877</v>
      </c>
      <c r="B132" s="4" t="s">
        <v>174</v>
      </c>
      <c r="C132" s="7" t="s">
        <v>5</v>
      </c>
      <c r="D132" s="4" t="s">
        <v>24</v>
      </c>
      <c r="E132" s="9" t="s">
        <v>11</v>
      </c>
    </row>
    <row r="133" spans="1:5" x14ac:dyDescent="0.3">
      <c r="A133" s="3">
        <v>993500</v>
      </c>
      <c r="B133" s="4" t="s">
        <v>175</v>
      </c>
      <c r="C133" s="7" t="s">
        <v>15</v>
      </c>
      <c r="D133" s="4" t="s">
        <v>43</v>
      </c>
      <c r="E133" s="9" t="s">
        <v>44</v>
      </c>
    </row>
    <row r="134" spans="1:5" x14ac:dyDescent="0.3">
      <c r="A134" s="3">
        <v>993536</v>
      </c>
      <c r="B134" s="4" t="s">
        <v>176</v>
      </c>
      <c r="C134" s="7" t="s">
        <v>9</v>
      </c>
      <c r="D134" s="4" t="s">
        <v>65</v>
      </c>
      <c r="E134" s="9" t="s">
        <v>22</v>
      </c>
    </row>
    <row r="135" spans="1:5" x14ac:dyDescent="0.3">
      <c r="A135" s="3">
        <v>993550</v>
      </c>
      <c r="B135" s="4" t="s">
        <v>177</v>
      </c>
      <c r="C135" s="7" t="s">
        <v>15</v>
      </c>
      <c r="D135" s="4" t="s">
        <v>108</v>
      </c>
      <c r="E135" s="9" t="s">
        <v>22</v>
      </c>
    </row>
    <row r="136" spans="1:5" x14ac:dyDescent="0.3">
      <c r="A136" s="3">
        <v>114669</v>
      </c>
      <c r="B136" s="4" t="s">
        <v>178</v>
      </c>
      <c r="C136" s="7" t="s">
        <v>93</v>
      </c>
      <c r="D136" s="4" t="s">
        <v>94</v>
      </c>
      <c r="E136" s="9" t="s">
        <v>34</v>
      </c>
    </row>
    <row r="137" spans="1:5" x14ac:dyDescent="0.3">
      <c r="A137" s="3">
        <v>120606</v>
      </c>
      <c r="B137" s="4" t="s">
        <v>179</v>
      </c>
      <c r="C137" s="7" t="s">
        <v>15</v>
      </c>
      <c r="D137" s="4" t="s">
        <v>180</v>
      </c>
      <c r="E137" s="9" t="s">
        <v>11</v>
      </c>
    </row>
    <row r="138" spans="1:5" x14ac:dyDescent="0.3">
      <c r="A138" s="3">
        <v>117345</v>
      </c>
      <c r="B138" s="4" t="s">
        <v>181</v>
      </c>
      <c r="C138" s="7" t="s">
        <v>15</v>
      </c>
      <c r="D138" s="4" t="s">
        <v>180</v>
      </c>
      <c r="E138" s="9" t="s">
        <v>11</v>
      </c>
    </row>
    <row r="139" spans="1:5" x14ac:dyDescent="0.3">
      <c r="A139" s="3">
        <v>114679</v>
      </c>
      <c r="B139" s="4" t="s">
        <v>182</v>
      </c>
      <c r="C139" s="7" t="s">
        <v>15</v>
      </c>
      <c r="D139" s="4" t="s">
        <v>180</v>
      </c>
      <c r="E139" s="9" t="s">
        <v>11</v>
      </c>
    </row>
    <row r="140" spans="1:5" x14ac:dyDescent="0.3">
      <c r="A140" s="3">
        <v>120768</v>
      </c>
      <c r="B140" s="4" t="s">
        <v>183</v>
      </c>
      <c r="C140" s="7" t="s">
        <v>15</v>
      </c>
      <c r="D140" s="4" t="s">
        <v>180</v>
      </c>
      <c r="E140" s="9" t="s">
        <v>11</v>
      </c>
    </row>
    <row r="141" spans="1:5" x14ac:dyDescent="0.3">
      <c r="A141" s="3">
        <v>120626</v>
      </c>
      <c r="B141" s="4" t="s">
        <v>184</v>
      </c>
      <c r="C141" s="7" t="s">
        <v>15</v>
      </c>
      <c r="D141" s="4" t="s">
        <v>180</v>
      </c>
      <c r="E141" s="9" t="s">
        <v>11</v>
      </c>
    </row>
    <row r="142" spans="1:5" x14ac:dyDescent="0.3">
      <c r="A142" s="3">
        <v>121117</v>
      </c>
      <c r="B142" s="4" t="s">
        <v>185</v>
      </c>
      <c r="C142" s="7" t="s">
        <v>15</v>
      </c>
      <c r="D142" s="4" t="s">
        <v>180</v>
      </c>
      <c r="E142" s="9" t="s">
        <v>11</v>
      </c>
    </row>
    <row r="143" spans="1:5" x14ac:dyDescent="0.3">
      <c r="A143" s="3">
        <v>120769</v>
      </c>
      <c r="B143" s="4" t="s">
        <v>186</v>
      </c>
      <c r="C143" s="7" t="s">
        <v>15</v>
      </c>
      <c r="D143" s="4" t="s">
        <v>180</v>
      </c>
      <c r="E143" s="9" t="s">
        <v>11</v>
      </c>
    </row>
    <row r="144" spans="1:5" x14ac:dyDescent="0.3">
      <c r="A144" s="3">
        <v>118925</v>
      </c>
      <c r="B144" s="4" t="s">
        <v>187</v>
      </c>
      <c r="C144" s="7" t="s">
        <v>15</v>
      </c>
      <c r="D144" s="4" t="s">
        <v>180</v>
      </c>
      <c r="E144" s="9" t="s">
        <v>11</v>
      </c>
    </row>
    <row r="145" spans="1:5" x14ac:dyDescent="0.3">
      <c r="A145" s="3">
        <v>121111</v>
      </c>
      <c r="B145" s="4" t="s">
        <v>188</v>
      </c>
      <c r="C145" s="7" t="s">
        <v>15</v>
      </c>
      <c r="D145" s="4" t="s">
        <v>180</v>
      </c>
      <c r="E145" s="9" t="s">
        <v>11</v>
      </c>
    </row>
    <row r="146" spans="1:5" x14ac:dyDescent="0.3">
      <c r="A146" s="3">
        <v>993311</v>
      </c>
      <c r="B146" s="4" t="s">
        <v>189</v>
      </c>
      <c r="C146" s="7" t="s">
        <v>15</v>
      </c>
      <c r="D146" s="4" t="s">
        <v>180</v>
      </c>
      <c r="E146" s="9" t="s">
        <v>11</v>
      </c>
    </row>
    <row r="147" spans="1:5" x14ac:dyDescent="0.3">
      <c r="A147" s="3">
        <v>120603</v>
      </c>
      <c r="B147" s="4" t="s">
        <v>190</v>
      </c>
      <c r="C147" s="7" t="s">
        <v>15</v>
      </c>
      <c r="D147" s="4" t="s">
        <v>180</v>
      </c>
      <c r="E147" s="9" t="s">
        <v>11</v>
      </c>
    </row>
    <row r="148" spans="1:5" x14ac:dyDescent="0.3">
      <c r="A148" s="3">
        <v>993787</v>
      </c>
      <c r="B148" s="4" t="s">
        <v>191</v>
      </c>
      <c r="C148" s="7" t="s">
        <v>15</v>
      </c>
      <c r="D148" s="4" t="s">
        <v>15</v>
      </c>
      <c r="E148" s="9" t="s">
        <v>11</v>
      </c>
    </row>
    <row r="149" spans="1:5" x14ac:dyDescent="0.3">
      <c r="A149" s="3">
        <v>121021</v>
      </c>
      <c r="B149" s="4" t="s">
        <v>192</v>
      </c>
      <c r="C149" s="7" t="s">
        <v>15</v>
      </c>
      <c r="D149" s="4" t="s">
        <v>15</v>
      </c>
      <c r="E149" s="9" t="s">
        <v>11</v>
      </c>
    </row>
    <row r="150" spans="1:5" x14ac:dyDescent="0.3">
      <c r="A150" s="3">
        <v>121351</v>
      </c>
      <c r="B150" s="4" t="s">
        <v>193</v>
      </c>
      <c r="C150" s="7" t="s">
        <v>15</v>
      </c>
      <c r="D150" s="4" t="s">
        <v>15</v>
      </c>
      <c r="E150" s="9" t="s">
        <v>11</v>
      </c>
    </row>
    <row r="151" spans="1:5" x14ac:dyDescent="0.3">
      <c r="A151" s="3">
        <v>120760</v>
      </c>
      <c r="B151" s="4" t="s">
        <v>194</v>
      </c>
      <c r="C151" s="7" t="s">
        <v>15</v>
      </c>
      <c r="D151" s="4" t="s">
        <v>15</v>
      </c>
      <c r="E151" s="9" t="s">
        <v>11</v>
      </c>
    </row>
    <row r="152" spans="1:5" x14ac:dyDescent="0.3">
      <c r="A152" s="3">
        <v>119076</v>
      </c>
      <c r="B152" s="4" t="s">
        <v>195</v>
      </c>
      <c r="C152" s="7" t="s">
        <v>15</v>
      </c>
      <c r="D152" s="4" t="s">
        <v>15</v>
      </c>
      <c r="E152" s="9" t="s">
        <v>11</v>
      </c>
    </row>
    <row r="153" spans="1:5" x14ac:dyDescent="0.3">
      <c r="A153" s="3">
        <v>120617</v>
      </c>
      <c r="B153" s="4" t="s">
        <v>196</v>
      </c>
      <c r="C153" s="7" t="s">
        <v>15</v>
      </c>
      <c r="D153" s="4" t="s">
        <v>15</v>
      </c>
      <c r="E153" s="9" t="s">
        <v>11</v>
      </c>
    </row>
    <row r="154" spans="1:5" x14ac:dyDescent="0.3">
      <c r="A154" s="3">
        <v>993834</v>
      </c>
      <c r="B154" s="4" t="s">
        <v>197</v>
      </c>
      <c r="C154" s="7" t="s">
        <v>15</v>
      </c>
      <c r="D154" s="4" t="s">
        <v>15</v>
      </c>
      <c r="E154" s="9" t="s">
        <v>11</v>
      </c>
    </row>
    <row r="155" spans="1:5" x14ac:dyDescent="0.3">
      <c r="A155" s="3">
        <v>119545</v>
      </c>
      <c r="B155" s="4" t="s">
        <v>198</v>
      </c>
      <c r="C155" s="7" t="s">
        <v>15</v>
      </c>
      <c r="D155" s="4" t="s">
        <v>15</v>
      </c>
      <c r="E155" s="9" t="s">
        <v>11</v>
      </c>
    </row>
    <row r="156" spans="1:5" x14ac:dyDescent="0.3">
      <c r="A156" s="3">
        <v>120767</v>
      </c>
      <c r="B156" s="4" t="s">
        <v>199</v>
      </c>
      <c r="C156" s="7" t="s">
        <v>15</v>
      </c>
      <c r="D156" s="4" t="s">
        <v>15</v>
      </c>
      <c r="E156" s="9" t="s">
        <v>11</v>
      </c>
    </row>
    <row r="157" spans="1:5" x14ac:dyDescent="0.3">
      <c r="A157" s="3">
        <v>114663</v>
      </c>
      <c r="B157" s="4" t="s">
        <v>200</v>
      </c>
      <c r="C157" s="7" t="s">
        <v>9</v>
      </c>
      <c r="D157" s="4" t="s">
        <v>166</v>
      </c>
      <c r="E157" s="9" t="s">
        <v>11</v>
      </c>
    </row>
    <row r="158" spans="1:5" x14ac:dyDescent="0.3">
      <c r="A158" s="3">
        <v>118992</v>
      </c>
      <c r="B158" s="4" t="s">
        <v>201</v>
      </c>
      <c r="C158" s="7" t="s">
        <v>9</v>
      </c>
      <c r="D158" s="4" t="s">
        <v>166</v>
      </c>
      <c r="E158" s="9" t="s">
        <v>11</v>
      </c>
    </row>
    <row r="159" spans="1:5" x14ac:dyDescent="0.3">
      <c r="A159" s="3">
        <v>993756</v>
      </c>
      <c r="B159" s="4" t="s">
        <v>202</v>
      </c>
      <c r="C159" s="7" t="s">
        <v>9</v>
      </c>
      <c r="D159" s="4" t="s">
        <v>166</v>
      </c>
      <c r="E159" s="9" t="s">
        <v>11</v>
      </c>
    </row>
    <row r="160" spans="1:5" x14ac:dyDescent="0.3">
      <c r="A160" s="3">
        <v>993812</v>
      </c>
      <c r="B160" s="4" t="s">
        <v>203</v>
      </c>
      <c r="C160" s="7" t="s">
        <v>9</v>
      </c>
      <c r="D160" s="4" t="s">
        <v>166</v>
      </c>
      <c r="E160" s="9" t="s">
        <v>11</v>
      </c>
    </row>
    <row r="161" spans="1:5" x14ac:dyDescent="0.3">
      <c r="A161" s="3">
        <v>993792</v>
      </c>
      <c r="B161" s="4" t="s">
        <v>204</v>
      </c>
      <c r="C161" s="7" t="s">
        <v>9</v>
      </c>
      <c r="D161" s="4" t="s">
        <v>166</v>
      </c>
      <c r="E161" s="9" t="s">
        <v>11</v>
      </c>
    </row>
    <row r="162" spans="1:5" x14ac:dyDescent="0.3">
      <c r="A162" s="3">
        <v>992543</v>
      </c>
      <c r="B162" s="4" t="s">
        <v>205</v>
      </c>
      <c r="C162" s="7" t="s">
        <v>9</v>
      </c>
      <c r="D162" s="4" t="s">
        <v>166</v>
      </c>
      <c r="E162" s="9" t="s">
        <v>11</v>
      </c>
    </row>
    <row r="163" spans="1:5" x14ac:dyDescent="0.3">
      <c r="A163" s="3">
        <v>116899</v>
      </c>
      <c r="B163" s="4" t="s">
        <v>206</v>
      </c>
      <c r="C163" s="7" t="s">
        <v>9</v>
      </c>
      <c r="D163" s="4" t="s">
        <v>166</v>
      </c>
      <c r="E163" s="9" t="s">
        <v>11</v>
      </c>
    </row>
    <row r="164" spans="1:5" x14ac:dyDescent="0.3">
      <c r="A164" s="3">
        <v>118625</v>
      </c>
      <c r="B164" s="4" t="s">
        <v>207</v>
      </c>
      <c r="C164" s="7" t="s">
        <v>17</v>
      </c>
      <c r="D164" s="4" t="s">
        <v>208</v>
      </c>
      <c r="E164" s="9" t="s">
        <v>209</v>
      </c>
    </row>
    <row r="165" spans="1:5" x14ac:dyDescent="0.3">
      <c r="A165" s="3">
        <v>118713</v>
      </c>
      <c r="B165" s="4" t="s">
        <v>210</v>
      </c>
      <c r="C165" s="7" t="s">
        <v>105</v>
      </c>
      <c r="D165" s="4" t="s">
        <v>211</v>
      </c>
      <c r="E165" s="9" t="s">
        <v>209</v>
      </c>
    </row>
    <row r="166" spans="1:5" x14ac:dyDescent="0.3">
      <c r="A166" s="3">
        <v>120847</v>
      </c>
      <c r="B166" s="4" t="s">
        <v>212</v>
      </c>
      <c r="C166" s="7" t="s">
        <v>17</v>
      </c>
      <c r="D166" s="4" t="s">
        <v>208</v>
      </c>
      <c r="E166" s="9" t="s">
        <v>209</v>
      </c>
    </row>
    <row r="167" spans="1:5" x14ac:dyDescent="0.3">
      <c r="A167" s="3">
        <v>120954</v>
      </c>
      <c r="B167" s="4" t="s">
        <v>213</v>
      </c>
      <c r="C167" s="7" t="s">
        <v>40</v>
      </c>
      <c r="D167" s="4" t="s">
        <v>214</v>
      </c>
      <c r="E167" s="9" t="s">
        <v>209</v>
      </c>
    </row>
    <row r="168" spans="1:5" x14ac:dyDescent="0.3">
      <c r="A168" s="3">
        <v>117072</v>
      </c>
      <c r="B168" s="4" t="s">
        <v>215</v>
      </c>
      <c r="C168" s="7" t="s">
        <v>17</v>
      </c>
      <c r="D168" s="4" t="s">
        <v>208</v>
      </c>
      <c r="E168" s="9" t="s">
        <v>209</v>
      </c>
    </row>
    <row r="169" spans="1:5" x14ac:dyDescent="0.3">
      <c r="A169" s="3">
        <v>121003</v>
      </c>
      <c r="B169" s="4" t="s">
        <v>216</v>
      </c>
      <c r="C169" s="7" t="s">
        <v>40</v>
      </c>
      <c r="D169" s="4" t="s">
        <v>217</v>
      </c>
      <c r="E169" s="9" t="s">
        <v>209</v>
      </c>
    </row>
    <row r="170" spans="1:5" x14ac:dyDescent="0.3">
      <c r="A170" s="3">
        <v>121138</v>
      </c>
      <c r="B170" s="4" t="s">
        <v>218</v>
      </c>
      <c r="C170" s="7" t="s">
        <v>40</v>
      </c>
      <c r="D170" s="4" t="s">
        <v>219</v>
      </c>
      <c r="E170" s="9" t="s">
        <v>209</v>
      </c>
    </row>
    <row r="171" spans="1:5" x14ac:dyDescent="0.3">
      <c r="A171" s="3">
        <v>121100</v>
      </c>
      <c r="B171" s="4" t="s">
        <v>220</v>
      </c>
      <c r="C171" s="7" t="s">
        <v>40</v>
      </c>
      <c r="D171" s="4" t="s">
        <v>219</v>
      </c>
      <c r="E171" s="9" t="s">
        <v>209</v>
      </c>
    </row>
    <row r="172" spans="1:5" x14ac:dyDescent="0.3">
      <c r="A172" s="3">
        <v>118038</v>
      </c>
      <c r="B172" s="4" t="s">
        <v>221</v>
      </c>
      <c r="C172" s="7" t="s">
        <v>105</v>
      </c>
      <c r="D172" s="4" t="s">
        <v>211</v>
      </c>
      <c r="E172" s="9" t="s">
        <v>209</v>
      </c>
    </row>
    <row r="173" spans="1:5" x14ac:dyDescent="0.3">
      <c r="A173" s="3">
        <v>118119</v>
      </c>
      <c r="B173" s="4" t="s">
        <v>222</v>
      </c>
      <c r="C173" s="7" t="s">
        <v>32</v>
      </c>
      <c r="D173" s="4" t="s">
        <v>223</v>
      </c>
      <c r="E173" s="9" t="s">
        <v>209</v>
      </c>
    </row>
    <row r="174" spans="1:5" x14ac:dyDescent="0.3">
      <c r="A174" s="3">
        <v>118312</v>
      </c>
      <c r="B174" s="4" t="s">
        <v>224</v>
      </c>
      <c r="C174" s="7" t="s">
        <v>40</v>
      </c>
      <c r="D174" s="4" t="s">
        <v>225</v>
      </c>
      <c r="E174" s="9" t="s">
        <v>209</v>
      </c>
    </row>
    <row r="175" spans="1:5" x14ac:dyDescent="0.3">
      <c r="A175" s="3">
        <v>117064</v>
      </c>
      <c r="B175" s="4" t="s">
        <v>226</v>
      </c>
      <c r="C175" s="7" t="s">
        <v>32</v>
      </c>
      <c r="D175" s="4" t="s">
        <v>32</v>
      </c>
      <c r="E175" s="9" t="s">
        <v>209</v>
      </c>
    </row>
    <row r="176" spans="1:5" x14ac:dyDescent="0.3">
      <c r="A176" s="3">
        <v>117833</v>
      </c>
      <c r="B176" s="4" t="s">
        <v>227</v>
      </c>
      <c r="C176" s="7" t="s">
        <v>32</v>
      </c>
      <c r="D176" s="4" t="s">
        <v>32</v>
      </c>
      <c r="E176" s="9" t="s">
        <v>209</v>
      </c>
    </row>
    <row r="177" spans="1:5" x14ac:dyDescent="0.3">
      <c r="A177" s="3">
        <v>993540</v>
      </c>
      <c r="B177" s="4" t="s">
        <v>228</v>
      </c>
      <c r="C177" s="7" t="s">
        <v>105</v>
      </c>
      <c r="D177" s="4" t="s">
        <v>211</v>
      </c>
      <c r="E177" s="9" t="s">
        <v>209</v>
      </c>
    </row>
    <row r="178" spans="1:5" x14ac:dyDescent="0.3">
      <c r="A178" s="5"/>
      <c r="B178" s="6" t="s">
        <v>229</v>
      </c>
      <c r="C178" s="8" t="s">
        <v>105</v>
      </c>
      <c r="D178" s="6" t="s">
        <v>211</v>
      </c>
      <c r="E178" s="10" t="s">
        <v>209</v>
      </c>
    </row>
  </sheetData>
  <dataValidations disablePrompts="1" count="1">
    <dataValidation type="whole" allowBlank="1" showInputMessage="1" showErrorMessage="1" errorTitle="Error" error="Ingrese los datos sin espacios ni puntos" sqref="A36 A30:A31 A46" xr:uid="{F2C3FE3E-078B-4A60-8AF1-C36673B68EED}">
      <formula1>0</formula1>
      <formula2>1000000000000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62AA-2605-40EA-8FAE-48E91E44DBF9}">
  <dimension ref="A1:B10"/>
  <sheetViews>
    <sheetView showGridLines="0" workbookViewId="0">
      <selection activeCell="D28" sqref="D28"/>
    </sheetView>
  </sheetViews>
  <sheetFormatPr baseColWidth="10" defaultRowHeight="14.4" x14ac:dyDescent="0.3"/>
  <cols>
    <col min="1" max="1" width="16.77734375" bestFit="1" customWidth="1"/>
    <col min="2" max="2" width="13.44140625" style="2" customWidth="1"/>
  </cols>
  <sheetData>
    <row r="1" spans="1:2" s="25" customFormat="1" x14ac:dyDescent="0.3">
      <c r="A1" s="26" t="s">
        <v>230</v>
      </c>
      <c r="B1" s="27" t="s">
        <v>305</v>
      </c>
    </row>
    <row r="2" spans="1:2" x14ac:dyDescent="0.3">
      <c r="A2" s="13" t="s">
        <v>11</v>
      </c>
      <c r="B2" s="12">
        <v>48</v>
      </c>
    </row>
    <row r="3" spans="1:2" x14ac:dyDescent="0.3">
      <c r="A3" s="13" t="s">
        <v>19</v>
      </c>
      <c r="B3" s="12">
        <v>48</v>
      </c>
    </row>
    <row r="4" spans="1:2" x14ac:dyDescent="0.3">
      <c r="A4" s="13" t="s">
        <v>7</v>
      </c>
      <c r="B4" s="12">
        <v>45</v>
      </c>
    </row>
    <row r="5" spans="1:2" x14ac:dyDescent="0.3">
      <c r="A5" s="13" t="s">
        <v>22</v>
      </c>
      <c r="B5" s="12">
        <v>45</v>
      </c>
    </row>
    <row r="6" spans="1:2" x14ac:dyDescent="0.3">
      <c r="A6" s="13" t="s">
        <v>34</v>
      </c>
      <c r="B6" s="12">
        <v>45</v>
      </c>
    </row>
    <row r="7" spans="1:2" x14ac:dyDescent="0.3">
      <c r="A7" s="13" t="s">
        <v>137</v>
      </c>
      <c r="B7" s="12">
        <v>45</v>
      </c>
    </row>
    <row r="8" spans="1:2" x14ac:dyDescent="0.3">
      <c r="A8" s="13" t="s">
        <v>44</v>
      </c>
      <c r="B8" s="12">
        <v>45</v>
      </c>
    </row>
    <row r="9" spans="1:2" x14ac:dyDescent="0.3">
      <c r="A9" s="13" t="s">
        <v>209</v>
      </c>
      <c r="B9" s="12">
        <v>48</v>
      </c>
    </row>
    <row r="10" spans="1:2" x14ac:dyDescent="0.3">
      <c r="A10" s="13" t="s">
        <v>29</v>
      </c>
      <c r="B10" s="12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8550-0456-476F-AF60-B3A583343B8F}">
  <dimension ref="A1:C64"/>
  <sheetViews>
    <sheetView showGridLines="0" topLeftCell="A40" workbookViewId="0">
      <selection activeCell="D60" sqref="D60"/>
    </sheetView>
  </sheetViews>
  <sheetFormatPr baseColWidth="10" defaultRowHeight="14.4" x14ac:dyDescent="0.3"/>
  <cols>
    <col min="1" max="1" width="16.77734375" bestFit="1" customWidth="1"/>
  </cols>
  <sheetData>
    <row r="1" spans="1:3" s="25" customFormat="1" x14ac:dyDescent="0.3">
      <c r="A1" s="26" t="s">
        <v>230</v>
      </c>
      <c r="B1" s="28" t="s">
        <v>309</v>
      </c>
      <c r="C1" s="28" t="s">
        <v>310</v>
      </c>
    </row>
    <row r="2" spans="1:3" x14ac:dyDescent="0.3">
      <c r="A2" s="13" t="s">
        <v>11</v>
      </c>
      <c r="B2" s="12" t="s">
        <v>299</v>
      </c>
      <c r="C2" s="12">
        <v>10</v>
      </c>
    </row>
    <row r="3" spans="1:3" x14ac:dyDescent="0.3">
      <c r="A3" s="13" t="s">
        <v>11</v>
      </c>
      <c r="B3" s="12" t="s">
        <v>300</v>
      </c>
      <c r="C3" s="12">
        <v>10</v>
      </c>
    </row>
    <row r="4" spans="1:3" x14ac:dyDescent="0.3">
      <c r="A4" s="13" t="s">
        <v>11</v>
      </c>
      <c r="B4" s="12" t="s">
        <v>311</v>
      </c>
      <c r="C4" s="12">
        <v>10</v>
      </c>
    </row>
    <row r="5" spans="1:3" x14ac:dyDescent="0.3">
      <c r="A5" s="13" t="s">
        <v>11</v>
      </c>
      <c r="B5" s="12" t="s">
        <v>301</v>
      </c>
      <c r="C5" s="12">
        <v>10</v>
      </c>
    </row>
    <row r="6" spans="1:3" x14ac:dyDescent="0.3">
      <c r="A6" s="13" t="s">
        <v>11</v>
      </c>
      <c r="B6" s="12" t="s">
        <v>302</v>
      </c>
      <c r="C6" s="12">
        <v>8</v>
      </c>
    </row>
    <row r="7" spans="1:3" x14ac:dyDescent="0.3">
      <c r="A7" s="13" t="s">
        <v>11</v>
      </c>
      <c r="B7" s="12" t="s">
        <v>303</v>
      </c>
      <c r="C7" s="12">
        <v>8</v>
      </c>
    </row>
    <row r="8" spans="1:3" x14ac:dyDescent="0.3">
      <c r="A8" s="13" t="s">
        <v>11</v>
      </c>
      <c r="B8" s="12" t="s">
        <v>304</v>
      </c>
      <c r="C8" s="12">
        <v>8</v>
      </c>
    </row>
    <row r="9" spans="1:3" x14ac:dyDescent="0.3">
      <c r="A9" s="13" t="s">
        <v>19</v>
      </c>
      <c r="B9" s="12" t="s">
        <v>299</v>
      </c>
      <c r="C9" s="12">
        <v>10</v>
      </c>
    </row>
    <row r="10" spans="1:3" x14ac:dyDescent="0.3">
      <c r="A10" s="13" t="s">
        <v>19</v>
      </c>
      <c r="B10" s="12" t="s">
        <v>300</v>
      </c>
      <c r="C10" s="12">
        <v>10</v>
      </c>
    </row>
    <row r="11" spans="1:3" x14ac:dyDescent="0.3">
      <c r="A11" s="13" t="s">
        <v>19</v>
      </c>
      <c r="B11" s="12" t="s">
        <v>311</v>
      </c>
      <c r="C11" s="12">
        <v>10</v>
      </c>
    </row>
    <row r="12" spans="1:3" x14ac:dyDescent="0.3">
      <c r="A12" s="13" t="s">
        <v>19</v>
      </c>
      <c r="B12" s="12" t="s">
        <v>301</v>
      </c>
      <c r="C12" s="12">
        <v>10</v>
      </c>
    </row>
    <row r="13" spans="1:3" x14ac:dyDescent="0.3">
      <c r="A13" s="13" t="s">
        <v>19</v>
      </c>
      <c r="B13" s="12" t="s">
        <v>302</v>
      </c>
      <c r="C13" s="12">
        <v>8</v>
      </c>
    </row>
    <row r="14" spans="1:3" x14ac:dyDescent="0.3">
      <c r="A14" s="13" t="s">
        <v>19</v>
      </c>
      <c r="B14" s="12" t="s">
        <v>303</v>
      </c>
      <c r="C14" s="12">
        <v>8</v>
      </c>
    </row>
    <row r="15" spans="1:3" x14ac:dyDescent="0.3">
      <c r="A15" s="13" t="s">
        <v>19</v>
      </c>
      <c r="B15" s="12" t="s">
        <v>304</v>
      </c>
      <c r="C15" s="12">
        <v>8</v>
      </c>
    </row>
    <row r="16" spans="1:3" x14ac:dyDescent="0.3">
      <c r="A16" s="13" t="s">
        <v>7</v>
      </c>
      <c r="B16" s="12" t="s">
        <v>299</v>
      </c>
      <c r="C16" s="12">
        <v>10</v>
      </c>
    </row>
    <row r="17" spans="1:3" x14ac:dyDescent="0.3">
      <c r="A17" s="13" t="s">
        <v>7</v>
      </c>
      <c r="B17" s="12" t="s">
        <v>300</v>
      </c>
      <c r="C17" s="12">
        <v>10</v>
      </c>
    </row>
    <row r="18" spans="1:3" x14ac:dyDescent="0.3">
      <c r="A18" s="13" t="s">
        <v>7</v>
      </c>
      <c r="B18" s="12" t="s">
        <v>311</v>
      </c>
      <c r="C18" s="12">
        <v>10</v>
      </c>
    </row>
    <row r="19" spans="1:3" x14ac:dyDescent="0.3">
      <c r="A19" s="13" t="s">
        <v>7</v>
      </c>
      <c r="B19" s="12" t="s">
        <v>301</v>
      </c>
      <c r="C19" s="12">
        <v>10</v>
      </c>
    </row>
    <row r="20" spans="1:3" x14ac:dyDescent="0.3">
      <c r="A20" s="13" t="s">
        <v>7</v>
      </c>
      <c r="B20" s="12" t="s">
        <v>302</v>
      </c>
      <c r="C20" s="12">
        <v>5</v>
      </c>
    </row>
    <row r="21" spans="1:3" x14ac:dyDescent="0.3">
      <c r="A21" s="13" t="s">
        <v>7</v>
      </c>
      <c r="B21" s="12" t="s">
        <v>303</v>
      </c>
      <c r="C21" s="12">
        <v>8</v>
      </c>
    </row>
    <row r="22" spans="1:3" x14ac:dyDescent="0.3">
      <c r="A22" s="13" t="s">
        <v>7</v>
      </c>
      <c r="B22" s="12" t="s">
        <v>304</v>
      </c>
      <c r="C22" s="12">
        <v>8</v>
      </c>
    </row>
    <row r="23" spans="1:3" x14ac:dyDescent="0.3">
      <c r="A23" s="13" t="s">
        <v>22</v>
      </c>
      <c r="B23" s="12" t="s">
        <v>299</v>
      </c>
      <c r="C23" s="12">
        <v>10</v>
      </c>
    </row>
    <row r="24" spans="1:3" x14ac:dyDescent="0.3">
      <c r="A24" s="13" t="s">
        <v>22</v>
      </c>
      <c r="B24" s="12" t="s">
        <v>300</v>
      </c>
      <c r="C24" s="12">
        <v>10</v>
      </c>
    </row>
    <row r="25" spans="1:3" x14ac:dyDescent="0.3">
      <c r="A25" s="13" t="s">
        <v>22</v>
      </c>
      <c r="B25" s="12" t="s">
        <v>311</v>
      </c>
      <c r="C25" s="12">
        <v>10</v>
      </c>
    </row>
    <row r="26" spans="1:3" x14ac:dyDescent="0.3">
      <c r="A26" s="13" t="s">
        <v>22</v>
      </c>
      <c r="B26" s="12" t="s">
        <v>301</v>
      </c>
      <c r="C26" s="12">
        <v>10</v>
      </c>
    </row>
    <row r="27" spans="1:3" x14ac:dyDescent="0.3">
      <c r="A27" s="13" t="s">
        <v>22</v>
      </c>
      <c r="B27" s="12" t="s">
        <v>302</v>
      </c>
      <c r="C27" s="12">
        <v>5</v>
      </c>
    </row>
    <row r="28" spans="1:3" x14ac:dyDescent="0.3">
      <c r="A28" s="13" t="s">
        <v>22</v>
      </c>
      <c r="B28" s="12" t="s">
        <v>303</v>
      </c>
      <c r="C28" s="12">
        <v>8</v>
      </c>
    </row>
    <row r="29" spans="1:3" x14ac:dyDescent="0.3">
      <c r="A29" s="13" t="s">
        <v>22</v>
      </c>
      <c r="B29" s="12" t="s">
        <v>304</v>
      </c>
      <c r="C29" s="12">
        <v>8</v>
      </c>
    </row>
    <row r="30" spans="1:3" x14ac:dyDescent="0.3">
      <c r="A30" s="13" t="s">
        <v>34</v>
      </c>
      <c r="B30" s="12" t="s">
        <v>299</v>
      </c>
      <c r="C30" s="12">
        <v>10</v>
      </c>
    </row>
    <row r="31" spans="1:3" x14ac:dyDescent="0.3">
      <c r="A31" s="13" t="s">
        <v>34</v>
      </c>
      <c r="B31" s="12" t="s">
        <v>300</v>
      </c>
      <c r="C31" s="12">
        <v>10</v>
      </c>
    </row>
    <row r="32" spans="1:3" x14ac:dyDescent="0.3">
      <c r="A32" s="13" t="s">
        <v>34</v>
      </c>
      <c r="B32" s="12" t="s">
        <v>311</v>
      </c>
      <c r="C32" s="12">
        <v>10</v>
      </c>
    </row>
    <row r="33" spans="1:3" ht="12.6" customHeight="1" x14ac:dyDescent="0.3">
      <c r="A33" s="13" t="s">
        <v>34</v>
      </c>
      <c r="B33" s="12" t="s">
        <v>301</v>
      </c>
      <c r="C33" s="12">
        <v>10</v>
      </c>
    </row>
    <row r="34" spans="1:3" x14ac:dyDescent="0.3">
      <c r="A34" s="13" t="s">
        <v>34</v>
      </c>
      <c r="B34" s="12" t="s">
        <v>302</v>
      </c>
      <c r="C34" s="12">
        <v>5</v>
      </c>
    </row>
    <row r="35" spans="1:3" x14ac:dyDescent="0.3">
      <c r="A35" s="13" t="s">
        <v>34</v>
      </c>
      <c r="B35" s="12" t="s">
        <v>303</v>
      </c>
      <c r="C35" s="12">
        <v>8</v>
      </c>
    </row>
    <row r="36" spans="1:3" x14ac:dyDescent="0.3">
      <c r="A36" s="13" t="s">
        <v>34</v>
      </c>
      <c r="B36" s="12" t="s">
        <v>304</v>
      </c>
      <c r="C36" s="12">
        <v>8</v>
      </c>
    </row>
    <row r="37" spans="1:3" x14ac:dyDescent="0.3">
      <c r="A37" s="13" t="s">
        <v>137</v>
      </c>
      <c r="B37" s="12" t="s">
        <v>299</v>
      </c>
      <c r="C37" s="12">
        <v>10</v>
      </c>
    </row>
    <row r="38" spans="1:3" x14ac:dyDescent="0.3">
      <c r="A38" s="13" t="s">
        <v>137</v>
      </c>
      <c r="B38" s="12" t="s">
        <v>300</v>
      </c>
      <c r="C38" s="12">
        <v>10</v>
      </c>
    </row>
    <row r="39" spans="1:3" x14ac:dyDescent="0.3">
      <c r="A39" s="13" t="s">
        <v>137</v>
      </c>
      <c r="B39" s="12" t="s">
        <v>311</v>
      </c>
      <c r="C39" s="12">
        <v>10</v>
      </c>
    </row>
    <row r="40" spans="1:3" x14ac:dyDescent="0.3">
      <c r="A40" s="13" t="s">
        <v>137</v>
      </c>
      <c r="B40" s="12" t="s">
        <v>301</v>
      </c>
      <c r="C40" s="12">
        <v>10</v>
      </c>
    </row>
    <row r="41" spans="1:3" x14ac:dyDescent="0.3">
      <c r="A41" s="13" t="s">
        <v>137</v>
      </c>
      <c r="B41" s="12" t="s">
        <v>302</v>
      </c>
      <c r="C41" s="12">
        <v>5</v>
      </c>
    </row>
    <row r="42" spans="1:3" x14ac:dyDescent="0.3">
      <c r="A42" s="13" t="s">
        <v>137</v>
      </c>
      <c r="B42" s="12" t="s">
        <v>303</v>
      </c>
      <c r="C42" s="12">
        <v>8</v>
      </c>
    </row>
    <row r="43" spans="1:3" x14ac:dyDescent="0.3">
      <c r="A43" s="13" t="s">
        <v>137</v>
      </c>
      <c r="B43" s="12" t="s">
        <v>304</v>
      </c>
      <c r="C43" s="12">
        <v>8</v>
      </c>
    </row>
    <row r="44" spans="1:3" x14ac:dyDescent="0.3">
      <c r="A44" s="13" t="s">
        <v>44</v>
      </c>
      <c r="B44" s="12" t="s">
        <v>299</v>
      </c>
      <c r="C44" s="12">
        <v>10</v>
      </c>
    </row>
    <row r="45" spans="1:3" x14ac:dyDescent="0.3">
      <c r="A45" s="13" t="s">
        <v>44</v>
      </c>
      <c r="B45" s="12" t="s">
        <v>300</v>
      </c>
      <c r="C45" s="12">
        <v>10</v>
      </c>
    </row>
    <row r="46" spans="1:3" x14ac:dyDescent="0.3">
      <c r="A46" s="13" t="s">
        <v>44</v>
      </c>
      <c r="B46" s="12" t="s">
        <v>311</v>
      </c>
      <c r="C46" s="12">
        <v>10</v>
      </c>
    </row>
    <row r="47" spans="1:3" x14ac:dyDescent="0.3">
      <c r="A47" s="13" t="s">
        <v>44</v>
      </c>
      <c r="B47" s="12" t="s">
        <v>301</v>
      </c>
      <c r="C47" s="12">
        <v>10</v>
      </c>
    </row>
    <row r="48" spans="1:3" x14ac:dyDescent="0.3">
      <c r="A48" s="13" t="s">
        <v>44</v>
      </c>
      <c r="B48" s="12" t="s">
        <v>302</v>
      </c>
      <c r="C48" s="12">
        <v>5</v>
      </c>
    </row>
    <row r="49" spans="1:3" x14ac:dyDescent="0.3">
      <c r="A49" s="13" t="s">
        <v>44</v>
      </c>
      <c r="B49" s="12" t="s">
        <v>303</v>
      </c>
      <c r="C49" s="12">
        <v>8</v>
      </c>
    </row>
    <row r="50" spans="1:3" x14ac:dyDescent="0.3">
      <c r="A50" s="13" t="s">
        <v>44</v>
      </c>
      <c r="B50" s="12" t="s">
        <v>304</v>
      </c>
      <c r="C50" s="12">
        <v>8</v>
      </c>
    </row>
    <row r="51" spans="1:3" x14ac:dyDescent="0.3">
      <c r="A51" s="13" t="s">
        <v>209</v>
      </c>
      <c r="B51" s="12" t="s">
        <v>299</v>
      </c>
      <c r="C51" s="12">
        <v>10.5</v>
      </c>
    </row>
    <row r="52" spans="1:3" x14ac:dyDescent="0.3">
      <c r="A52" s="13" t="s">
        <v>209</v>
      </c>
      <c r="B52" s="12" t="s">
        <v>300</v>
      </c>
      <c r="C52" s="12">
        <v>10.5</v>
      </c>
    </row>
    <row r="53" spans="1:3" x14ac:dyDescent="0.3">
      <c r="A53" s="13" t="s">
        <v>209</v>
      </c>
      <c r="B53" s="12" t="s">
        <v>311</v>
      </c>
      <c r="C53" s="12">
        <v>10.5</v>
      </c>
    </row>
    <row r="54" spans="1:3" x14ac:dyDescent="0.3">
      <c r="A54" s="13" t="s">
        <v>209</v>
      </c>
      <c r="B54" s="12" t="s">
        <v>301</v>
      </c>
      <c r="C54" s="12">
        <v>10.5</v>
      </c>
    </row>
    <row r="55" spans="1:3" x14ac:dyDescent="0.3">
      <c r="A55" s="13" t="s">
        <v>209</v>
      </c>
      <c r="B55" s="12" t="s">
        <v>302</v>
      </c>
      <c r="C55" s="12">
        <v>6</v>
      </c>
    </row>
    <row r="56" spans="1:3" x14ac:dyDescent="0.3">
      <c r="A56" s="13" t="s">
        <v>209</v>
      </c>
      <c r="B56" s="12" t="s">
        <v>303</v>
      </c>
      <c r="C56" s="12">
        <v>8</v>
      </c>
    </row>
    <row r="57" spans="1:3" x14ac:dyDescent="0.3">
      <c r="A57" s="13" t="s">
        <v>209</v>
      </c>
      <c r="B57" s="12" t="s">
        <v>304</v>
      </c>
      <c r="C57" s="12">
        <v>8</v>
      </c>
    </row>
    <row r="58" spans="1:3" x14ac:dyDescent="0.3">
      <c r="A58" s="13" t="s">
        <v>29</v>
      </c>
      <c r="B58" s="12" t="s">
        <v>299</v>
      </c>
      <c r="C58" s="12">
        <v>12</v>
      </c>
    </row>
    <row r="59" spans="1:3" x14ac:dyDescent="0.3">
      <c r="A59" s="13" t="s">
        <v>29</v>
      </c>
      <c r="B59" s="12" t="s">
        <v>300</v>
      </c>
      <c r="C59" s="12">
        <v>12</v>
      </c>
    </row>
    <row r="60" spans="1:3" x14ac:dyDescent="0.3">
      <c r="A60" s="13" t="s">
        <v>29</v>
      </c>
      <c r="B60" s="12" t="s">
        <v>311</v>
      </c>
      <c r="C60" s="12">
        <v>12</v>
      </c>
    </row>
    <row r="61" spans="1:3" x14ac:dyDescent="0.3">
      <c r="A61" s="13" t="s">
        <v>29</v>
      </c>
      <c r="B61" s="12" t="s">
        <v>301</v>
      </c>
      <c r="C61" s="12">
        <v>12</v>
      </c>
    </row>
    <row r="62" spans="1:3" x14ac:dyDescent="0.3">
      <c r="A62" s="13" t="s">
        <v>29</v>
      </c>
      <c r="B62" s="12" t="s">
        <v>302</v>
      </c>
      <c r="C62" s="12">
        <v>8</v>
      </c>
    </row>
    <row r="63" spans="1:3" x14ac:dyDescent="0.3">
      <c r="A63" s="13" t="s">
        <v>29</v>
      </c>
      <c r="B63" s="12" t="s">
        <v>303</v>
      </c>
      <c r="C63" s="12">
        <v>8</v>
      </c>
    </row>
    <row r="64" spans="1:3" x14ac:dyDescent="0.3">
      <c r="A64" s="13" t="s">
        <v>29</v>
      </c>
      <c r="B64" s="12" t="s">
        <v>304</v>
      </c>
      <c r="C64" s="12">
        <v>8</v>
      </c>
    </row>
  </sheetData>
  <conditionalFormatting sqref="B1">
    <cfRule type="containsText" dxfId="66" priority="22" operator="containsText" text="Domingo">
      <formula>NOT(ISERROR(SEARCH("Domingo",B1)))</formula>
    </cfRule>
    <cfRule type="containsText" dxfId="65" priority="23" operator="containsText" text="Domingo">
      <formula>NOT(ISERROR(SEARCH("Domingo",B1)))</formula>
    </cfRule>
    <cfRule type="containsText" dxfId="64" priority="24" operator="containsText" text="Sábado">
      <formula>NOT(ISERROR(SEARCH("Sábado",B1)))</formula>
    </cfRule>
    <cfRule type="containsText" dxfId="63" priority="25" operator="containsText" text="Domingo">
      <formula>NOT(ISERROR(SEARCH("Domingo",B1)))</formula>
    </cfRule>
  </conditionalFormatting>
  <conditionalFormatting sqref="B1:C1">
    <cfRule type="containsText" dxfId="62" priority="17" operator="containsText" text="Domingo">
      <formula>NOT(ISERROR(SEARCH("Domingo",B1)))</formula>
    </cfRule>
    <cfRule type="containsText" dxfId="61" priority="18" operator="containsText" text="Domingo">
      <formula>NOT(ISERROR(SEARCH("Domingo",B1)))</formula>
    </cfRule>
    <cfRule type="containsText" dxfId="60" priority="19" operator="containsText" text="Sábado">
      <formula>NOT(ISERROR(SEARCH("Sábado",B1)))</formula>
    </cfRule>
    <cfRule type="containsText" dxfId="59" priority="20" operator="containsText" text="Domingo">
      <formula>NOT(ISERROR(SEARCH("Domingo",B1)))</formula>
    </cfRule>
  </conditionalFormatting>
  <conditionalFormatting sqref="C1">
    <cfRule type="containsText" dxfId="58" priority="13" operator="containsText" text="Domingo">
      <formula>NOT(ISERROR(SEARCH("Domingo",C1)))</formula>
    </cfRule>
    <cfRule type="containsText" dxfId="57" priority="14" operator="containsText" text="Domingo">
      <formula>NOT(ISERROR(SEARCH("Domingo",C1)))</formula>
    </cfRule>
    <cfRule type="containsText" dxfId="56" priority="15" operator="containsText" text="Sábado">
      <formula>NOT(ISERROR(SEARCH("Sábado",C1)))</formula>
    </cfRule>
    <cfRule type="containsText" dxfId="55" priority="16" operator="containsText" text="Domingo">
      <formula>NOT(ISERROR(SEARCH("Domingo",C1)))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B457-36F0-4719-88A7-45B26BE5608C}">
  <dimension ref="A1:F64"/>
  <sheetViews>
    <sheetView showGridLines="0" tabSelected="1" workbookViewId="0">
      <selection activeCell="E70" sqref="E70"/>
    </sheetView>
  </sheetViews>
  <sheetFormatPr baseColWidth="10" defaultRowHeight="14.4" x14ac:dyDescent="0.3"/>
  <cols>
    <col min="1" max="1" width="16.77734375" bestFit="1" customWidth="1"/>
    <col min="3" max="3" width="19.6640625" customWidth="1"/>
    <col min="4" max="4" width="16.5546875" customWidth="1"/>
    <col min="5" max="5" width="21.109375" bestFit="1" customWidth="1"/>
    <col min="6" max="6" width="19.109375" bestFit="1" customWidth="1"/>
  </cols>
  <sheetData>
    <row r="1" spans="1:6" s="25" customFormat="1" x14ac:dyDescent="0.3">
      <c r="A1" s="29" t="s">
        <v>230</v>
      </c>
      <c r="B1" s="30" t="s">
        <v>309</v>
      </c>
      <c r="C1" s="30" t="s">
        <v>306</v>
      </c>
      <c r="D1" s="30" t="s">
        <v>307</v>
      </c>
      <c r="E1" s="30" t="s">
        <v>308</v>
      </c>
      <c r="F1" s="30" t="s">
        <v>312</v>
      </c>
    </row>
    <row r="2" spans="1:6" x14ac:dyDescent="0.3">
      <c r="A2" s="13" t="s">
        <v>11</v>
      </c>
      <c r="B2" s="12" t="s">
        <v>299</v>
      </c>
      <c r="C2" s="32" t="s">
        <v>317</v>
      </c>
      <c r="D2" s="33" t="s">
        <v>319</v>
      </c>
      <c r="E2" s="31" t="s">
        <v>316</v>
      </c>
      <c r="F2" s="31" t="s">
        <v>315</v>
      </c>
    </row>
    <row r="3" spans="1:6" x14ac:dyDescent="0.3">
      <c r="A3" s="13" t="s">
        <v>11</v>
      </c>
      <c r="B3" s="12" t="s">
        <v>300</v>
      </c>
      <c r="C3" s="32" t="s">
        <v>317</v>
      </c>
      <c r="D3" s="33" t="s">
        <v>319</v>
      </c>
      <c r="E3" s="31" t="s">
        <v>316</v>
      </c>
      <c r="F3" s="31" t="s">
        <v>315</v>
      </c>
    </row>
    <row r="4" spans="1:6" x14ac:dyDescent="0.3">
      <c r="A4" s="13" t="s">
        <v>11</v>
      </c>
      <c r="B4" s="12" t="s">
        <v>311</v>
      </c>
      <c r="C4" s="32" t="s">
        <v>317</v>
      </c>
      <c r="D4" s="33" t="s">
        <v>319</v>
      </c>
      <c r="E4" s="31" t="s">
        <v>316</v>
      </c>
      <c r="F4" s="31" t="s">
        <v>315</v>
      </c>
    </row>
    <row r="5" spans="1:6" x14ac:dyDescent="0.3">
      <c r="A5" s="13" t="s">
        <v>11</v>
      </c>
      <c r="B5" s="12" t="s">
        <v>301</v>
      </c>
      <c r="C5" s="32" t="s">
        <v>317</v>
      </c>
      <c r="D5" s="33" t="s">
        <v>319</v>
      </c>
      <c r="E5" s="31" t="s">
        <v>316</v>
      </c>
      <c r="F5" s="31" t="s">
        <v>315</v>
      </c>
    </row>
    <row r="6" spans="1:6" x14ac:dyDescent="0.3">
      <c r="A6" s="13" t="s">
        <v>11</v>
      </c>
      <c r="B6" s="12" t="s">
        <v>302</v>
      </c>
      <c r="C6" s="32" t="s">
        <v>317</v>
      </c>
      <c r="D6" s="33" t="s">
        <v>320</v>
      </c>
      <c r="E6" s="31" t="s">
        <v>316</v>
      </c>
      <c r="F6" s="31" t="s">
        <v>315</v>
      </c>
    </row>
    <row r="7" spans="1:6" x14ac:dyDescent="0.3">
      <c r="A7" s="13" t="s">
        <v>11</v>
      </c>
      <c r="B7" s="12" t="s">
        <v>303</v>
      </c>
      <c r="C7" s="12"/>
      <c r="D7" s="12"/>
      <c r="E7" s="31" t="s">
        <v>316</v>
      </c>
      <c r="F7" s="31" t="s">
        <v>315</v>
      </c>
    </row>
    <row r="8" spans="1:6" x14ac:dyDescent="0.3">
      <c r="A8" s="13" t="s">
        <v>11</v>
      </c>
      <c r="B8" s="12" t="s">
        <v>304</v>
      </c>
      <c r="C8" s="12"/>
      <c r="D8" s="12"/>
      <c r="E8" s="31" t="s">
        <v>316</v>
      </c>
      <c r="F8" s="31" t="s">
        <v>315</v>
      </c>
    </row>
    <row r="9" spans="1:6" x14ac:dyDescent="0.3">
      <c r="A9" s="13" t="s">
        <v>19</v>
      </c>
      <c r="B9" s="12" t="s">
        <v>299</v>
      </c>
      <c r="C9" s="32" t="s">
        <v>317</v>
      </c>
      <c r="D9" s="33" t="s">
        <v>319</v>
      </c>
      <c r="E9" s="31" t="s">
        <v>316</v>
      </c>
      <c r="F9" s="31" t="s">
        <v>315</v>
      </c>
    </row>
    <row r="10" spans="1:6" x14ac:dyDescent="0.3">
      <c r="A10" s="13" t="s">
        <v>19</v>
      </c>
      <c r="B10" s="12" t="s">
        <v>300</v>
      </c>
      <c r="C10" s="32" t="s">
        <v>317</v>
      </c>
      <c r="D10" s="33" t="s">
        <v>319</v>
      </c>
      <c r="E10" s="31" t="s">
        <v>316</v>
      </c>
      <c r="F10" s="31" t="s">
        <v>315</v>
      </c>
    </row>
    <row r="11" spans="1:6" x14ac:dyDescent="0.3">
      <c r="A11" s="13" t="s">
        <v>19</v>
      </c>
      <c r="B11" s="12" t="s">
        <v>311</v>
      </c>
      <c r="C11" s="32" t="s">
        <v>317</v>
      </c>
      <c r="D11" s="33" t="s">
        <v>319</v>
      </c>
      <c r="E11" s="31" t="s">
        <v>316</v>
      </c>
      <c r="F11" s="31" t="s">
        <v>315</v>
      </c>
    </row>
    <row r="12" spans="1:6" x14ac:dyDescent="0.3">
      <c r="A12" s="13" t="s">
        <v>19</v>
      </c>
      <c r="B12" s="12" t="s">
        <v>301</v>
      </c>
      <c r="C12" s="32" t="s">
        <v>317</v>
      </c>
      <c r="D12" s="33" t="s">
        <v>319</v>
      </c>
      <c r="E12" s="31" t="s">
        <v>316</v>
      </c>
      <c r="F12" s="31" t="s">
        <v>315</v>
      </c>
    </row>
    <row r="13" spans="1:6" x14ac:dyDescent="0.3">
      <c r="A13" s="13" t="s">
        <v>19</v>
      </c>
      <c r="B13" s="12" t="s">
        <v>302</v>
      </c>
      <c r="C13" s="32" t="s">
        <v>317</v>
      </c>
      <c r="D13" s="33" t="s">
        <v>320</v>
      </c>
      <c r="E13" s="31" t="s">
        <v>316</v>
      </c>
      <c r="F13" s="31" t="s">
        <v>315</v>
      </c>
    </row>
    <row r="14" spans="1:6" x14ac:dyDescent="0.3">
      <c r="A14" s="13" t="s">
        <v>19</v>
      </c>
      <c r="B14" s="12" t="s">
        <v>303</v>
      </c>
      <c r="C14" s="12"/>
      <c r="D14" s="12"/>
      <c r="E14" s="31" t="s">
        <v>316</v>
      </c>
      <c r="F14" s="31" t="s">
        <v>315</v>
      </c>
    </row>
    <row r="15" spans="1:6" x14ac:dyDescent="0.3">
      <c r="A15" s="13" t="s">
        <v>19</v>
      </c>
      <c r="B15" s="12" t="s">
        <v>304</v>
      </c>
      <c r="C15" s="12"/>
      <c r="D15" s="12"/>
      <c r="E15" s="31" t="s">
        <v>316</v>
      </c>
      <c r="F15" s="31" t="s">
        <v>315</v>
      </c>
    </row>
    <row r="16" spans="1:6" x14ac:dyDescent="0.3">
      <c r="A16" s="13" t="s">
        <v>7</v>
      </c>
      <c r="B16" s="12" t="s">
        <v>299</v>
      </c>
      <c r="C16" s="32" t="s">
        <v>317</v>
      </c>
      <c r="D16" s="33" t="s">
        <v>319</v>
      </c>
      <c r="E16" s="31" t="s">
        <v>316</v>
      </c>
      <c r="F16" s="31" t="s">
        <v>315</v>
      </c>
    </row>
    <row r="17" spans="1:6" x14ac:dyDescent="0.3">
      <c r="A17" s="13" t="s">
        <v>7</v>
      </c>
      <c r="B17" s="12" t="s">
        <v>300</v>
      </c>
      <c r="C17" s="32" t="s">
        <v>317</v>
      </c>
      <c r="D17" s="33" t="s">
        <v>319</v>
      </c>
      <c r="E17" s="31" t="s">
        <v>316</v>
      </c>
      <c r="F17" s="31" t="s">
        <v>315</v>
      </c>
    </row>
    <row r="18" spans="1:6" x14ac:dyDescent="0.3">
      <c r="A18" s="13" t="s">
        <v>7</v>
      </c>
      <c r="B18" s="12" t="s">
        <v>311</v>
      </c>
      <c r="C18" s="32" t="s">
        <v>317</v>
      </c>
      <c r="D18" s="33" t="s">
        <v>319</v>
      </c>
      <c r="E18" s="31" t="s">
        <v>316</v>
      </c>
      <c r="F18" s="31" t="s">
        <v>315</v>
      </c>
    </row>
    <row r="19" spans="1:6" x14ac:dyDescent="0.3">
      <c r="A19" s="13" t="s">
        <v>7</v>
      </c>
      <c r="B19" s="12" t="s">
        <v>301</v>
      </c>
      <c r="C19" s="32" t="s">
        <v>317</v>
      </c>
      <c r="D19" s="33" t="s">
        <v>319</v>
      </c>
      <c r="E19" s="31" t="s">
        <v>316</v>
      </c>
      <c r="F19" s="31" t="s">
        <v>315</v>
      </c>
    </row>
    <row r="20" spans="1:6" x14ac:dyDescent="0.3">
      <c r="A20" s="13" t="s">
        <v>7</v>
      </c>
      <c r="B20" s="12" t="s">
        <v>302</v>
      </c>
      <c r="C20" s="32" t="s">
        <v>317</v>
      </c>
      <c r="D20" s="33" t="s">
        <v>316</v>
      </c>
      <c r="E20" s="31" t="s">
        <v>316</v>
      </c>
      <c r="F20" s="31" t="s">
        <v>315</v>
      </c>
    </row>
    <row r="21" spans="1:6" x14ac:dyDescent="0.3">
      <c r="A21" s="13" t="s">
        <v>7</v>
      </c>
      <c r="B21" s="12" t="s">
        <v>303</v>
      </c>
      <c r="C21" s="12"/>
      <c r="D21" s="12"/>
      <c r="E21" s="31" t="s">
        <v>316</v>
      </c>
      <c r="F21" s="31" t="s">
        <v>315</v>
      </c>
    </row>
    <row r="22" spans="1:6" x14ac:dyDescent="0.3">
      <c r="A22" s="13" t="s">
        <v>7</v>
      </c>
      <c r="B22" s="12" t="s">
        <v>304</v>
      </c>
      <c r="C22" s="12"/>
      <c r="D22" s="12"/>
      <c r="E22" s="31" t="s">
        <v>316</v>
      </c>
      <c r="F22" s="31" t="s">
        <v>315</v>
      </c>
    </row>
    <row r="23" spans="1:6" x14ac:dyDescent="0.3">
      <c r="A23" s="13" t="s">
        <v>22</v>
      </c>
      <c r="B23" s="12" t="s">
        <v>299</v>
      </c>
      <c r="C23" s="32" t="s">
        <v>317</v>
      </c>
      <c r="D23" s="33" t="s">
        <v>319</v>
      </c>
      <c r="E23" s="31" t="s">
        <v>316</v>
      </c>
      <c r="F23" s="31" t="s">
        <v>315</v>
      </c>
    </row>
    <row r="24" spans="1:6" x14ac:dyDescent="0.3">
      <c r="A24" s="13" t="s">
        <v>22</v>
      </c>
      <c r="B24" s="12" t="s">
        <v>300</v>
      </c>
      <c r="C24" s="32" t="s">
        <v>317</v>
      </c>
      <c r="D24" s="33" t="s">
        <v>319</v>
      </c>
      <c r="E24" s="31" t="s">
        <v>316</v>
      </c>
      <c r="F24" s="31" t="s">
        <v>315</v>
      </c>
    </row>
    <row r="25" spans="1:6" x14ac:dyDescent="0.3">
      <c r="A25" s="13" t="s">
        <v>22</v>
      </c>
      <c r="B25" s="12" t="s">
        <v>311</v>
      </c>
      <c r="C25" s="32" t="s">
        <v>317</v>
      </c>
      <c r="D25" s="33" t="s">
        <v>319</v>
      </c>
      <c r="E25" s="31" t="s">
        <v>316</v>
      </c>
      <c r="F25" s="31" t="s">
        <v>315</v>
      </c>
    </row>
    <row r="26" spans="1:6" x14ac:dyDescent="0.3">
      <c r="A26" s="13" t="s">
        <v>22</v>
      </c>
      <c r="B26" s="12" t="s">
        <v>301</v>
      </c>
      <c r="C26" s="32" t="s">
        <v>317</v>
      </c>
      <c r="D26" s="33" t="s">
        <v>319</v>
      </c>
      <c r="E26" s="31" t="s">
        <v>316</v>
      </c>
      <c r="F26" s="31" t="s">
        <v>315</v>
      </c>
    </row>
    <row r="27" spans="1:6" x14ac:dyDescent="0.3">
      <c r="A27" s="13" t="s">
        <v>22</v>
      </c>
      <c r="B27" s="12" t="s">
        <v>302</v>
      </c>
      <c r="C27" s="32" t="s">
        <v>317</v>
      </c>
      <c r="D27" s="33" t="s">
        <v>316</v>
      </c>
      <c r="E27" s="31" t="s">
        <v>316</v>
      </c>
      <c r="F27" s="31" t="s">
        <v>315</v>
      </c>
    </row>
    <row r="28" spans="1:6" x14ac:dyDescent="0.3">
      <c r="A28" s="13" t="s">
        <v>22</v>
      </c>
      <c r="B28" s="12" t="s">
        <v>303</v>
      </c>
      <c r="C28" s="12"/>
      <c r="D28" s="12"/>
      <c r="E28" s="31" t="s">
        <v>316</v>
      </c>
      <c r="F28" s="31" t="s">
        <v>315</v>
      </c>
    </row>
    <row r="29" spans="1:6" x14ac:dyDescent="0.3">
      <c r="A29" s="13" t="s">
        <v>22</v>
      </c>
      <c r="B29" s="12" t="s">
        <v>304</v>
      </c>
      <c r="C29" s="12"/>
      <c r="D29" s="12"/>
      <c r="E29" s="31" t="s">
        <v>316</v>
      </c>
      <c r="F29" s="31" t="s">
        <v>315</v>
      </c>
    </row>
    <row r="30" spans="1:6" x14ac:dyDescent="0.3">
      <c r="A30" s="13" t="s">
        <v>34</v>
      </c>
      <c r="B30" s="12" t="s">
        <v>299</v>
      </c>
      <c r="C30" s="32" t="s">
        <v>317</v>
      </c>
      <c r="D30" s="33" t="s">
        <v>319</v>
      </c>
      <c r="E30" s="31" t="s">
        <v>316</v>
      </c>
      <c r="F30" s="31" t="s">
        <v>315</v>
      </c>
    </row>
    <row r="31" spans="1:6" x14ac:dyDescent="0.3">
      <c r="A31" s="13" t="s">
        <v>34</v>
      </c>
      <c r="B31" s="12" t="s">
        <v>300</v>
      </c>
      <c r="C31" s="32" t="s">
        <v>317</v>
      </c>
      <c r="D31" s="33" t="s">
        <v>319</v>
      </c>
      <c r="E31" s="31" t="s">
        <v>316</v>
      </c>
      <c r="F31" s="31" t="s">
        <v>315</v>
      </c>
    </row>
    <row r="32" spans="1:6" x14ac:dyDescent="0.3">
      <c r="A32" s="13" t="s">
        <v>34</v>
      </c>
      <c r="B32" s="12" t="s">
        <v>311</v>
      </c>
      <c r="C32" s="32" t="s">
        <v>317</v>
      </c>
      <c r="D32" s="33" t="s">
        <v>319</v>
      </c>
      <c r="E32" s="31" t="s">
        <v>316</v>
      </c>
      <c r="F32" s="31" t="s">
        <v>315</v>
      </c>
    </row>
    <row r="33" spans="1:6" ht="12.6" customHeight="1" x14ac:dyDescent="0.3">
      <c r="A33" s="13" t="s">
        <v>34</v>
      </c>
      <c r="B33" s="12" t="s">
        <v>301</v>
      </c>
      <c r="C33" s="32" t="s">
        <v>317</v>
      </c>
      <c r="D33" s="33" t="s">
        <v>319</v>
      </c>
      <c r="E33" s="31" t="s">
        <v>316</v>
      </c>
      <c r="F33" s="31" t="s">
        <v>315</v>
      </c>
    </row>
    <row r="34" spans="1:6" x14ac:dyDescent="0.3">
      <c r="A34" s="13" t="s">
        <v>34</v>
      </c>
      <c r="B34" s="12" t="s">
        <v>302</v>
      </c>
      <c r="C34" s="32" t="s">
        <v>317</v>
      </c>
      <c r="D34" s="33" t="s">
        <v>316</v>
      </c>
      <c r="E34" s="31" t="s">
        <v>316</v>
      </c>
      <c r="F34" s="31" t="s">
        <v>315</v>
      </c>
    </row>
    <row r="35" spans="1:6" x14ac:dyDescent="0.3">
      <c r="A35" s="13" t="s">
        <v>34</v>
      </c>
      <c r="B35" s="12" t="s">
        <v>303</v>
      </c>
      <c r="C35" s="12"/>
      <c r="D35" s="12"/>
      <c r="E35" s="31" t="s">
        <v>316</v>
      </c>
      <c r="F35" s="31" t="s">
        <v>315</v>
      </c>
    </row>
    <row r="36" spans="1:6" x14ac:dyDescent="0.3">
      <c r="A36" s="13" t="s">
        <v>34</v>
      </c>
      <c r="B36" s="12" t="s">
        <v>304</v>
      </c>
      <c r="C36" s="12"/>
      <c r="D36" s="12"/>
      <c r="E36" s="31" t="s">
        <v>316</v>
      </c>
      <c r="F36" s="31" t="s">
        <v>315</v>
      </c>
    </row>
    <row r="37" spans="1:6" x14ac:dyDescent="0.3">
      <c r="A37" s="13" t="s">
        <v>137</v>
      </c>
      <c r="B37" s="12" t="s">
        <v>299</v>
      </c>
      <c r="C37" s="32" t="s">
        <v>317</v>
      </c>
      <c r="D37" s="33" t="s">
        <v>319</v>
      </c>
      <c r="E37" s="31" t="s">
        <v>316</v>
      </c>
      <c r="F37" s="31" t="s">
        <v>315</v>
      </c>
    </row>
    <row r="38" spans="1:6" x14ac:dyDescent="0.3">
      <c r="A38" s="13" t="s">
        <v>137</v>
      </c>
      <c r="B38" s="12" t="s">
        <v>300</v>
      </c>
      <c r="C38" s="32" t="s">
        <v>317</v>
      </c>
      <c r="D38" s="33" t="s">
        <v>319</v>
      </c>
      <c r="E38" s="31" t="s">
        <v>316</v>
      </c>
      <c r="F38" s="31" t="s">
        <v>315</v>
      </c>
    </row>
    <row r="39" spans="1:6" x14ac:dyDescent="0.3">
      <c r="A39" s="13" t="s">
        <v>137</v>
      </c>
      <c r="B39" s="12" t="s">
        <v>311</v>
      </c>
      <c r="C39" s="32" t="s">
        <v>317</v>
      </c>
      <c r="D39" s="33" t="s">
        <v>319</v>
      </c>
      <c r="E39" s="31" t="s">
        <v>316</v>
      </c>
      <c r="F39" s="31" t="s">
        <v>315</v>
      </c>
    </row>
    <row r="40" spans="1:6" x14ac:dyDescent="0.3">
      <c r="A40" s="13" t="s">
        <v>137</v>
      </c>
      <c r="B40" s="12" t="s">
        <v>301</v>
      </c>
      <c r="C40" s="32" t="s">
        <v>317</v>
      </c>
      <c r="D40" s="33" t="s">
        <v>319</v>
      </c>
      <c r="E40" s="31" t="s">
        <v>316</v>
      </c>
      <c r="F40" s="31" t="s">
        <v>315</v>
      </c>
    </row>
    <row r="41" spans="1:6" x14ac:dyDescent="0.3">
      <c r="A41" s="13" t="s">
        <v>137</v>
      </c>
      <c r="B41" s="12" t="s">
        <v>302</v>
      </c>
      <c r="C41" s="32" t="s">
        <v>317</v>
      </c>
      <c r="D41" s="33" t="s">
        <v>316</v>
      </c>
      <c r="E41" s="31" t="s">
        <v>316</v>
      </c>
      <c r="F41" s="31" t="s">
        <v>315</v>
      </c>
    </row>
    <row r="42" spans="1:6" x14ac:dyDescent="0.3">
      <c r="A42" s="13" t="s">
        <v>137</v>
      </c>
      <c r="B42" s="12" t="s">
        <v>303</v>
      </c>
      <c r="C42" s="12"/>
      <c r="D42" s="12"/>
      <c r="E42" s="31" t="s">
        <v>316</v>
      </c>
      <c r="F42" s="31" t="s">
        <v>315</v>
      </c>
    </row>
    <row r="43" spans="1:6" x14ac:dyDescent="0.3">
      <c r="A43" s="13" t="s">
        <v>137</v>
      </c>
      <c r="B43" s="12" t="s">
        <v>304</v>
      </c>
      <c r="C43" s="12"/>
      <c r="D43" s="12"/>
      <c r="E43" s="31" t="s">
        <v>316</v>
      </c>
      <c r="F43" s="31" t="s">
        <v>315</v>
      </c>
    </row>
    <row r="44" spans="1:6" x14ac:dyDescent="0.3">
      <c r="A44" s="13" t="s">
        <v>44</v>
      </c>
      <c r="B44" s="12" t="s">
        <v>299</v>
      </c>
      <c r="C44" s="32" t="s">
        <v>317</v>
      </c>
      <c r="D44" s="33" t="s">
        <v>319</v>
      </c>
      <c r="E44" s="31" t="s">
        <v>316</v>
      </c>
      <c r="F44" s="31" t="s">
        <v>315</v>
      </c>
    </row>
    <row r="45" spans="1:6" x14ac:dyDescent="0.3">
      <c r="A45" s="13" t="s">
        <v>44</v>
      </c>
      <c r="B45" s="12" t="s">
        <v>300</v>
      </c>
      <c r="C45" s="32" t="s">
        <v>317</v>
      </c>
      <c r="D45" s="33" t="s">
        <v>319</v>
      </c>
      <c r="E45" s="31" t="s">
        <v>316</v>
      </c>
      <c r="F45" s="31" t="s">
        <v>315</v>
      </c>
    </row>
    <row r="46" spans="1:6" x14ac:dyDescent="0.3">
      <c r="A46" s="13" t="s">
        <v>44</v>
      </c>
      <c r="B46" s="12" t="s">
        <v>311</v>
      </c>
      <c r="C46" s="32" t="s">
        <v>317</v>
      </c>
      <c r="D46" s="33" t="s">
        <v>319</v>
      </c>
      <c r="E46" s="31" t="s">
        <v>316</v>
      </c>
      <c r="F46" s="31" t="s">
        <v>315</v>
      </c>
    </row>
    <row r="47" spans="1:6" x14ac:dyDescent="0.3">
      <c r="A47" s="13" t="s">
        <v>44</v>
      </c>
      <c r="B47" s="12" t="s">
        <v>301</v>
      </c>
      <c r="C47" s="32" t="s">
        <v>317</v>
      </c>
      <c r="D47" s="33" t="s">
        <v>319</v>
      </c>
      <c r="E47" s="31" t="s">
        <v>316</v>
      </c>
      <c r="F47" s="31" t="s">
        <v>315</v>
      </c>
    </row>
    <row r="48" spans="1:6" x14ac:dyDescent="0.3">
      <c r="A48" s="13" t="s">
        <v>44</v>
      </c>
      <c r="B48" s="12" t="s">
        <v>302</v>
      </c>
      <c r="C48" s="32" t="s">
        <v>317</v>
      </c>
      <c r="D48" s="33" t="s">
        <v>316</v>
      </c>
      <c r="E48" s="31" t="s">
        <v>316</v>
      </c>
      <c r="F48" s="31" t="s">
        <v>315</v>
      </c>
    </row>
    <row r="49" spans="1:6" x14ac:dyDescent="0.3">
      <c r="A49" s="13" t="s">
        <v>44</v>
      </c>
      <c r="B49" s="12" t="s">
        <v>303</v>
      </c>
      <c r="C49" s="12"/>
      <c r="D49" s="12"/>
      <c r="E49" s="31" t="s">
        <v>316</v>
      </c>
      <c r="F49" s="31" t="s">
        <v>315</v>
      </c>
    </row>
    <row r="50" spans="1:6" x14ac:dyDescent="0.3">
      <c r="A50" s="13" t="s">
        <v>44</v>
      </c>
      <c r="B50" s="12" t="s">
        <v>304</v>
      </c>
      <c r="C50" s="12"/>
      <c r="D50" s="12"/>
      <c r="E50" s="31" t="s">
        <v>316</v>
      </c>
      <c r="F50" s="31" t="s">
        <v>315</v>
      </c>
    </row>
    <row r="51" spans="1:6" x14ac:dyDescent="0.3">
      <c r="A51" s="13" t="s">
        <v>209</v>
      </c>
      <c r="B51" s="12" t="s">
        <v>299</v>
      </c>
      <c r="C51" s="32" t="s">
        <v>313</v>
      </c>
      <c r="D51" s="33" t="s">
        <v>314</v>
      </c>
      <c r="E51" s="31" t="s">
        <v>316</v>
      </c>
      <c r="F51" s="31" t="s">
        <v>318</v>
      </c>
    </row>
    <row r="52" spans="1:6" x14ac:dyDescent="0.3">
      <c r="A52" s="13" t="s">
        <v>209</v>
      </c>
      <c r="B52" s="12" t="s">
        <v>300</v>
      </c>
      <c r="C52" s="32" t="s">
        <v>313</v>
      </c>
      <c r="D52" s="33" t="s">
        <v>314</v>
      </c>
      <c r="E52" s="31" t="s">
        <v>316</v>
      </c>
      <c r="F52" s="31" t="s">
        <v>318</v>
      </c>
    </row>
    <row r="53" spans="1:6" x14ac:dyDescent="0.3">
      <c r="A53" s="13" t="s">
        <v>209</v>
      </c>
      <c r="B53" s="12" t="s">
        <v>311</v>
      </c>
      <c r="C53" s="32" t="s">
        <v>313</v>
      </c>
      <c r="D53" s="33" t="s">
        <v>314</v>
      </c>
      <c r="E53" s="31" t="s">
        <v>316</v>
      </c>
      <c r="F53" s="31" t="s">
        <v>318</v>
      </c>
    </row>
    <row r="54" spans="1:6" x14ac:dyDescent="0.3">
      <c r="A54" s="13" t="s">
        <v>209</v>
      </c>
      <c r="B54" s="12" t="s">
        <v>301</v>
      </c>
      <c r="C54" s="32" t="s">
        <v>313</v>
      </c>
      <c r="D54" s="33" t="s">
        <v>314</v>
      </c>
      <c r="E54" s="31" t="s">
        <v>316</v>
      </c>
      <c r="F54" s="31" t="s">
        <v>318</v>
      </c>
    </row>
    <row r="55" spans="1:6" x14ac:dyDescent="0.3">
      <c r="A55" s="13" t="s">
        <v>209</v>
      </c>
      <c r="B55" s="12" t="s">
        <v>302</v>
      </c>
      <c r="C55" s="32" t="s">
        <v>313</v>
      </c>
      <c r="D55" s="33" t="s">
        <v>316</v>
      </c>
      <c r="E55" s="31" t="s">
        <v>316</v>
      </c>
      <c r="F55" s="31" t="s">
        <v>315</v>
      </c>
    </row>
    <row r="56" spans="1:6" x14ac:dyDescent="0.3">
      <c r="A56" s="13" t="s">
        <v>209</v>
      </c>
      <c r="B56" s="12" t="s">
        <v>303</v>
      </c>
      <c r="C56" s="12"/>
      <c r="D56" s="12"/>
      <c r="E56" s="31" t="s">
        <v>316</v>
      </c>
      <c r="F56" s="31" t="s">
        <v>315</v>
      </c>
    </row>
    <row r="57" spans="1:6" x14ac:dyDescent="0.3">
      <c r="A57" s="13" t="s">
        <v>209</v>
      </c>
      <c r="B57" s="12" t="s">
        <v>304</v>
      </c>
      <c r="C57" s="12"/>
      <c r="D57" s="12"/>
      <c r="E57" s="31" t="s">
        <v>316</v>
      </c>
      <c r="F57" s="31" t="s">
        <v>315</v>
      </c>
    </row>
    <row r="58" spans="1:6" hidden="1" x14ac:dyDescent="0.3">
      <c r="A58" s="13" t="s">
        <v>29</v>
      </c>
      <c r="B58" s="12" t="s">
        <v>299</v>
      </c>
      <c r="C58" s="12"/>
      <c r="D58" s="31"/>
      <c r="E58" s="31"/>
      <c r="F58" s="31"/>
    </row>
    <row r="59" spans="1:6" hidden="1" x14ac:dyDescent="0.3">
      <c r="A59" s="13" t="s">
        <v>29</v>
      </c>
      <c r="B59" s="12" t="s">
        <v>300</v>
      </c>
      <c r="C59" s="12"/>
      <c r="D59" s="31"/>
      <c r="E59" s="31"/>
      <c r="F59" s="31"/>
    </row>
    <row r="60" spans="1:6" hidden="1" x14ac:dyDescent="0.3">
      <c r="A60" s="13" t="s">
        <v>29</v>
      </c>
      <c r="B60" s="12" t="s">
        <v>311</v>
      </c>
      <c r="C60" s="12"/>
      <c r="D60" s="31"/>
      <c r="E60" s="31"/>
      <c r="F60" s="31"/>
    </row>
    <row r="61" spans="1:6" hidden="1" x14ac:dyDescent="0.3">
      <c r="A61" s="13" t="s">
        <v>29</v>
      </c>
      <c r="B61" s="12" t="s">
        <v>301</v>
      </c>
      <c r="C61" s="12"/>
      <c r="D61" s="31"/>
      <c r="E61" s="31"/>
      <c r="F61" s="31"/>
    </row>
    <row r="62" spans="1:6" hidden="1" x14ac:dyDescent="0.3">
      <c r="A62" s="13" t="s">
        <v>29</v>
      </c>
      <c r="B62" s="12" t="s">
        <v>302</v>
      </c>
      <c r="C62" s="12"/>
      <c r="D62" s="31"/>
      <c r="E62" s="31"/>
      <c r="F62" s="31"/>
    </row>
    <row r="63" spans="1:6" hidden="1" x14ac:dyDescent="0.3">
      <c r="A63" s="13" t="s">
        <v>29</v>
      </c>
      <c r="B63" s="12" t="s">
        <v>303</v>
      </c>
      <c r="C63" s="12"/>
      <c r="D63" s="31"/>
      <c r="E63" s="31"/>
      <c r="F63" s="31"/>
    </row>
    <row r="64" spans="1:6" hidden="1" x14ac:dyDescent="0.3">
      <c r="A64" s="13" t="s">
        <v>29</v>
      </c>
      <c r="B64" s="12" t="s">
        <v>304</v>
      </c>
      <c r="C64" s="12"/>
      <c r="D64" s="31"/>
      <c r="E64" s="31"/>
      <c r="F64" s="31"/>
    </row>
  </sheetData>
  <conditionalFormatting sqref="B1">
    <cfRule type="containsText" dxfId="48" priority="9" operator="containsText" text="Domingo">
      <formula>NOT(ISERROR(SEARCH("Domingo",B1)))</formula>
    </cfRule>
    <cfRule type="containsText" dxfId="47" priority="10" operator="containsText" text="Domingo">
      <formula>NOT(ISERROR(SEARCH("Domingo",B1)))</formula>
    </cfRule>
    <cfRule type="containsText" dxfId="46" priority="11" operator="containsText" text="Sábado">
      <formula>NOT(ISERROR(SEARCH("Sábado",B1)))</formula>
    </cfRule>
    <cfRule type="containsText" dxfId="45" priority="12" operator="containsText" text="Domingo">
      <formula>NOT(ISERROR(SEARCH("Domingo",B1)))</formula>
    </cfRule>
  </conditionalFormatting>
  <conditionalFormatting sqref="B1:C1">
    <cfRule type="containsText" dxfId="44" priority="5" operator="containsText" text="Domingo">
      <formula>NOT(ISERROR(SEARCH("Domingo",B1)))</formula>
    </cfRule>
    <cfRule type="containsText" dxfId="43" priority="6" operator="containsText" text="Domingo">
      <formula>NOT(ISERROR(SEARCH("Domingo",B1)))</formula>
    </cfRule>
    <cfRule type="containsText" dxfId="42" priority="7" operator="containsText" text="Sábado">
      <formula>NOT(ISERROR(SEARCH("Sábado",B1)))</formula>
    </cfRule>
    <cfRule type="containsText" dxfId="41" priority="8" operator="containsText" text="Domingo">
      <formula>NOT(ISERROR(SEARCH("Domingo",B1)))</formula>
    </cfRule>
  </conditionalFormatting>
  <conditionalFormatting sqref="C1">
    <cfRule type="containsText" dxfId="40" priority="1" operator="containsText" text="Domingo">
      <formula>NOT(ISERROR(SEARCH("Domingo",C1)))</formula>
    </cfRule>
    <cfRule type="containsText" dxfId="39" priority="2" operator="containsText" text="Domingo">
      <formula>NOT(ISERROR(SEARCH("Domingo",C1)))</formula>
    </cfRule>
    <cfRule type="containsText" dxfId="38" priority="3" operator="containsText" text="Sábado">
      <formula>NOT(ISERROR(SEARCH("Sábado",C1)))</formula>
    </cfRule>
    <cfRule type="containsText" dxfId="37" priority="4" operator="containsText" text="Domingo">
      <formula>NOT(ISERROR(SEARCH("Domingo",C1)))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C39A-517D-4ADE-86C4-E49C5873F035}">
  <dimension ref="A1:C55"/>
  <sheetViews>
    <sheetView topLeftCell="A29" workbookViewId="0">
      <selection activeCell="A3" sqref="A3:C55"/>
    </sheetView>
  </sheetViews>
  <sheetFormatPr baseColWidth="10" defaultRowHeight="14.4" x14ac:dyDescent="0.3"/>
  <cols>
    <col min="1" max="1" width="10.33203125" customWidth="1"/>
    <col min="2" max="2" width="16.21875" customWidth="1"/>
    <col min="3" max="3" width="10.109375" bestFit="1" customWidth="1"/>
  </cols>
  <sheetData>
    <row r="1" spans="1:3" x14ac:dyDescent="0.3">
      <c r="A1" s="2" t="s">
        <v>233</v>
      </c>
      <c r="B1" s="1">
        <v>2025</v>
      </c>
    </row>
    <row r="2" spans="1:3" x14ac:dyDescent="0.3">
      <c r="B2" s="1"/>
    </row>
    <row r="3" spans="1:3" s="1" customFormat="1" x14ac:dyDescent="0.3">
      <c r="A3" s="2" t="s">
        <v>231</v>
      </c>
      <c r="B3" s="2" t="s">
        <v>234</v>
      </c>
      <c r="C3" s="1" t="s">
        <v>232</v>
      </c>
    </row>
    <row r="4" spans="1:3" x14ac:dyDescent="0.3">
      <c r="A4" s="1" cm="1">
        <f t="array" ref="A4:A55">_xlfn.LET(_xlpm.a,B1,_xlpm.fi,DATE(_xlpm.a,1,1)-MOD(WEEKDAY(DATE(_xlpm.a,1,7),2),7),_xlpm.s,_xlfn.SEQUENCE(52,,1),_xlpm.s)</f>
        <v>1</v>
      </c>
      <c r="B4" s="2" t="str" cm="1">
        <f t="array" ref="B4:B55">_xlfn.LET(_xlpm.a,B1,_xlpm.fi,DATE(_xlpm.a,1,1)-MOD(WEEKDAY(DATE(_xlpm.a,1,7),2),7),_xlpm.s,_xlfn.SEQUENCE(52,,1),TEXT(_xlpm.fi+(_xlpm.s*7),"d mmm")&amp;" - "&amp;TEXT(_xlpm.fi+6+(_xlpm.s*7),"d mmm"))</f>
        <v>6 ene - 12 ene</v>
      </c>
      <c r="C4" s="1" t="str">
        <f t="shared" ref="C4:C35" si="0">TEXT(DATE($B$1,1,1)-MOD(WEEKDAY(DATE($B$1,1,7)),2) + (A4)*7, "mmmm")</f>
        <v>enero</v>
      </c>
    </row>
    <row r="5" spans="1:3" x14ac:dyDescent="0.3">
      <c r="A5" s="1">
        <v>2</v>
      </c>
      <c r="B5" s="2" t="str">
        <v>13 ene - 19 ene</v>
      </c>
      <c r="C5" s="1" t="str">
        <f t="shared" si="0"/>
        <v>enero</v>
      </c>
    </row>
    <row r="6" spans="1:3" x14ac:dyDescent="0.3">
      <c r="A6" s="1">
        <v>3</v>
      </c>
      <c r="B6" s="2" t="str">
        <v>20 ene - 26 ene</v>
      </c>
      <c r="C6" s="1" t="str">
        <f t="shared" si="0"/>
        <v>enero</v>
      </c>
    </row>
    <row r="7" spans="1:3" x14ac:dyDescent="0.3">
      <c r="A7" s="1">
        <v>4</v>
      </c>
      <c r="B7" s="2" t="str">
        <v>27 ene - 2 feb</v>
      </c>
      <c r="C7" s="1" t="str">
        <f t="shared" si="0"/>
        <v>enero</v>
      </c>
    </row>
    <row r="8" spans="1:3" x14ac:dyDescent="0.3">
      <c r="A8" s="1">
        <v>5</v>
      </c>
      <c r="B8" s="2" t="str">
        <v>3 feb - 9 feb</v>
      </c>
      <c r="C8" s="1" t="str">
        <f t="shared" si="0"/>
        <v>febrero</v>
      </c>
    </row>
    <row r="9" spans="1:3" x14ac:dyDescent="0.3">
      <c r="A9" s="1">
        <v>6</v>
      </c>
      <c r="B9" s="2" t="str">
        <v>10 feb - 16 feb</v>
      </c>
      <c r="C9" s="1" t="str">
        <f t="shared" si="0"/>
        <v>febrero</v>
      </c>
    </row>
    <row r="10" spans="1:3" x14ac:dyDescent="0.3">
      <c r="A10" s="1">
        <v>7</v>
      </c>
      <c r="B10" s="2" t="str">
        <v>17 feb - 23 feb</v>
      </c>
      <c r="C10" s="1" t="str">
        <f t="shared" si="0"/>
        <v>febrero</v>
      </c>
    </row>
    <row r="11" spans="1:3" x14ac:dyDescent="0.3">
      <c r="A11" s="1">
        <v>8</v>
      </c>
      <c r="B11" s="2" t="str">
        <v>24 feb - 2 mar</v>
      </c>
      <c r="C11" s="1" t="str">
        <f t="shared" si="0"/>
        <v>febrero</v>
      </c>
    </row>
    <row r="12" spans="1:3" x14ac:dyDescent="0.3">
      <c r="A12" s="1">
        <v>9</v>
      </c>
      <c r="B12" s="2" t="str">
        <v>3 mar - 9 mar</v>
      </c>
      <c r="C12" s="1" t="str">
        <f t="shared" si="0"/>
        <v>marzo</v>
      </c>
    </row>
    <row r="13" spans="1:3" x14ac:dyDescent="0.3">
      <c r="A13" s="1">
        <v>10</v>
      </c>
      <c r="B13" s="2" t="str">
        <v>10 mar - 16 mar</v>
      </c>
      <c r="C13" s="1" t="str">
        <f t="shared" si="0"/>
        <v>marzo</v>
      </c>
    </row>
    <row r="14" spans="1:3" x14ac:dyDescent="0.3">
      <c r="A14" s="1">
        <v>11</v>
      </c>
      <c r="B14" s="2" t="str">
        <v>17 mar - 23 mar</v>
      </c>
      <c r="C14" s="1" t="str">
        <f t="shared" si="0"/>
        <v>marzo</v>
      </c>
    </row>
    <row r="15" spans="1:3" x14ac:dyDescent="0.3">
      <c r="A15" s="1">
        <v>12</v>
      </c>
      <c r="B15" s="2" t="str">
        <v>24 mar - 30 mar</v>
      </c>
      <c r="C15" s="1" t="str">
        <f t="shared" si="0"/>
        <v>marzo</v>
      </c>
    </row>
    <row r="16" spans="1:3" x14ac:dyDescent="0.3">
      <c r="A16" s="1">
        <v>13</v>
      </c>
      <c r="B16" s="2" t="str">
        <v>31 mar - 6 abr</v>
      </c>
      <c r="C16" s="1" t="str">
        <f t="shared" si="0"/>
        <v>abril</v>
      </c>
    </row>
    <row r="17" spans="1:3" x14ac:dyDescent="0.3">
      <c r="A17" s="1">
        <v>14</v>
      </c>
      <c r="B17" s="2" t="str">
        <v>7 abr - 13 abr</v>
      </c>
      <c r="C17" s="1" t="str">
        <f t="shared" si="0"/>
        <v>abril</v>
      </c>
    </row>
    <row r="18" spans="1:3" x14ac:dyDescent="0.3">
      <c r="A18" s="1">
        <v>15</v>
      </c>
      <c r="B18" s="2" t="str">
        <v>14 abr - 20 abr</v>
      </c>
      <c r="C18" s="1" t="str">
        <f t="shared" si="0"/>
        <v>abril</v>
      </c>
    </row>
    <row r="19" spans="1:3" x14ac:dyDescent="0.3">
      <c r="A19" s="1">
        <v>16</v>
      </c>
      <c r="B19" s="2" t="str">
        <v>21 abr - 27 abr</v>
      </c>
      <c r="C19" s="1" t="str">
        <f t="shared" si="0"/>
        <v>abril</v>
      </c>
    </row>
    <row r="20" spans="1:3" x14ac:dyDescent="0.3">
      <c r="A20" s="1">
        <v>17</v>
      </c>
      <c r="B20" s="2" t="str">
        <v>28 abr - 4 may</v>
      </c>
      <c r="C20" s="1" t="str">
        <f t="shared" si="0"/>
        <v>abril</v>
      </c>
    </row>
    <row r="21" spans="1:3" x14ac:dyDescent="0.3">
      <c r="A21" s="1">
        <v>18</v>
      </c>
      <c r="B21" s="2" t="str">
        <v>5 may - 11 may</v>
      </c>
      <c r="C21" s="1" t="str">
        <f t="shared" si="0"/>
        <v>mayo</v>
      </c>
    </row>
    <row r="22" spans="1:3" x14ac:dyDescent="0.3">
      <c r="A22" s="1">
        <v>19</v>
      </c>
      <c r="B22" s="2" t="str">
        <v>12 may - 18 may</v>
      </c>
      <c r="C22" s="1" t="str">
        <f t="shared" si="0"/>
        <v>mayo</v>
      </c>
    </row>
    <row r="23" spans="1:3" x14ac:dyDescent="0.3">
      <c r="A23" s="1">
        <v>20</v>
      </c>
      <c r="B23" s="2" t="str">
        <v>19 may - 25 may</v>
      </c>
      <c r="C23" s="1" t="str">
        <f t="shared" si="0"/>
        <v>mayo</v>
      </c>
    </row>
    <row r="24" spans="1:3" x14ac:dyDescent="0.3">
      <c r="A24" s="1">
        <v>21</v>
      </c>
      <c r="B24" s="2" t="str">
        <v>26 may - 1 jun</v>
      </c>
      <c r="C24" s="1" t="str">
        <f t="shared" si="0"/>
        <v>mayo</v>
      </c>
    </row>
    <row r="25" spans="1:3" x14ac:dyDescent="0.3">
      <c r="A25" s="1">
        <v>22</v>
      </c>
      <c r="B25" s="2" t="str">
        <v>2 jun - 8 jun</v>
      </c>
      <c r="C25" s="1" t="str">
        <f t="shared" si="0"/>
        <v>junio</v>
      </c>
    </row>
    <row r="26" spans="1:3" x14ac:dyDescent="0.3">
      <c r="A26" s="1">
        <v>23</v>
      </c>
      <c r="B26" s="2" t="str">
        <v>9 jun - 15 jun</v>
      </c>
      <c r="C26" s="1" t="str">
        <f t="shared" si="0"/>
        <v>junio</v>
      </c>
    </row>
    <row r="27" spans="1:3" x14ac:dyDescent="0.3">
      <c r="A27" s="1">
        <v>24</v>
      </c>
      <c r="B27" s="2" t="str">
        <v>16 jun - 22 jun</v>
      </c>
      <c r="C27" s="1" t="str">
        <f t="shared" si="0"/>
        <v>junio</v>
      </c>
    </row>
    <row r="28" spans="1:3" x14ac:dyDescent="0.3">
      <c r="A28" s="1">
        <v>25</v>
      </c>
      <c r="B28" s="2" t="str">
        <v>23 jun - 29 jun</v>
      </c>
      <c r="C28" s="1" t="str">
        <f t="shared" si="0"/>
        <v>junio</v>
      </c>
    </row>
    <row r="29" spans="1:3" x14ac:dyDescent="0.3">
      <c r="A29" s="1">
        <v>26</v>
      </c>
      <c r="B29" s="2" t="str">
        <v>30 jun - 6 jul</v>
      </c>
      <c r="C29" s="1" t="str">
        <f t="shared" si="0"/>
        <v>julio</v>
      </c>
    </row>
    <row r="30" spans="1:3" x14ac:dyDescent="0.3">
      <c r="A30" s="1">
        <v>27</v>
      </c>
      <c r="B30" s="2" t="str">
        <v>7 jul - 13 jul</v>
      </c>
      <c r="C30" s="1" t="str">
        <f t="shared" si="0"/>
        <v>julio</v>
      </c>
    </row>
    <row r="31" spans="1:3" x14ac:dyDescent="0.3">
      <c r="A31" s="1">
        <v>28</v>
      </c>
      <c r="B31" s="2" t="str">
        <v>14 jul - 20 jul</v>
      </c>
      <c r="C31" s="1" t="str">
        <f t="shared" si="0"/>
        <v>julio</v>
      </c>
    </row>
    <row r="32" spans="1:3" x14ac:dyDescent="0.3">
      <c r="A32" s="1">
        <v>29</v>
      </c>
      <c r="B32" s="2" t="str">
        <v>21 jul - 27 jul</v>
      </c>
      <c r="C32" s="1" t="str">
        <f t="shared" si="0"/>
        <v>julio</v>
      </c>
    </row>
    <row r="33" spans="1:3" x14ac:dyDescent="0.3">
      <c r="A33" s="1">
        <v>30</v>
      </c>
      <c r="B33" s="2" t="str">
        <v>28 jul - 3 ago</v>
      </c>
      <c r="C33" s="1" t="str">
        <f t="shared" si="0"/>
        <v>julio</v>
      </c>
    </row>
    <row r="34" spans="1:3" x14ac:dyDescent="0.3">
      <c r="A34" s="1">
        <v>31</v>
      </c>
      <c r="B34" s="2" t="str">
        <v>4 ago - 10 ago</v>
      </c>
      <c r="C34" s="1" t="str">
        <f t="shared" si="0"/>
        <v>agosto</v>
      </c>
    </row>
    <row r="35" spans="1:3" x14ac:dyDescent="0.3">
      <c r="A35" s="1">
        <v>32</v>
      </c>
      <c r="B35" s="2" t="str">
        <v>11 ago - 17 ago</v>
      </c>
      <c r="C35" s="1" t="str">
        <f t="shared" si="0"/>
        <v>agosto</v>
      </c>
    </row>
    <row r="36" spans="1:3" x14ac:dyDescent="0.3">
      <c r="A36" s="1">
        <v>33</v>
      </c>
      <c r="B36" s="2" t="str">
        <v>18 ago - 24 ago</v>
      </c>
      <c r="C36" s="1" t="str">
        <f t="shared" ref="C36:C55" si="1">TEXT(DATE($B$1,1,1)-MOD(WEEKDAY(DATE($B$1,1,7)),2) + (A36)*7, "mmmm")</f>
        <v>agosto</v>
      </c>
    </row>
    <row r="37" spans="1:3" x14ac:dyDescent="0.3">
      <c r="A37" s="1">
        <v>34</v>
      </c>
      <c r="B37" s="2" t="str">
        <v>25 ago - 31 ago</v>
      </c>
      <c r="C37" s="1" t="str">
        <f t="shared" si="1"/>
        <v>agosto</v>
      </c>
    </row>
    <row r="38" spans="1:3" x14ac:dyDescent="0.3">
      <c r="A38" s="1">
        <v>35</v>
      </c>
      <c r="B38" s="2" t="str">
        <v>1 sep - 7 sep</v>
      </c>
      <c r="C38" s="1" t="str">
        <f t="shared" si="1"/>
        <v>septiembre</v>
      </c>
    </row>
    <row r="39" spans="1:3" x14ac:dyDescent="0.3">
      <c r="A39" s="1">
        <v>36</v>
      </c>
      <c r="B39" s="2" t="str">
        <v>8 sep - 14 sep</v>
      </c>
      <c r="C39" s="1" t="str">
        <f t="shared" si="1"/>
        <v>septiembre</v>
      </c>
    </row>
    <row r="40" spans="1:3" x14ac:dyDescent="0.3">
      <c r="A40" s="1">
        <v>37</v>
      </c>
      <c r="B40" s="2" t="str">
        <v>15 sep - 21 sep</v>
      </c>
      <c r="C40" s="1" t="str">
        <f t="shared" si="1"/>
        <v>septiembre</v>
      </c>
    </row>
    <row r="41" spans="1:3" x14ac:dyDescent="0.3">
      <c r="A41" s="1">
        <v>38</v>
      </c>
      <c r="B41" s="2" t="str">
        <v>22 sep - 28 sep</v>
      </c>
      <c r="C41" s="1" t="str">
        <f t="shared" si="1"/>
        <v>septiembre</v>
      </c>
    </row>
    <row r="42" spans="1:3" x14ac:dyDescent="0.3">
      <c r="A42" s="1">
        <v>39</v>
      </c>
      <c r="B42" s="2" t="str">
        <v>29 sep - 5 oct</v>
      </c>
      <c r="C42" s="1" t="str">
        <f t="shared" si="1"/>
        <v>septiembre</v>
      </c>
    </row>
    <row r="43" spans="1:3" x14ac:dyDescent="0.3">
      <c r="A43" s="1">
        <v>40</v>
      </c>
      <c r="B43" s="2" t="str">
        <v>6 oct - 12 oct</v>
      </c>
      <c r="C43" s="1" t="str">
        <f t="shared" si="1"/>
        <v>octubre</v>
      </c>
    </row>
    <row r="44" spans="1:3" x14ac:dyDescent="0.3">
      <c r="A44" s="1">
        <v>41</v>
      </c>
      <c r="B44" s="2" t="str">
        <v>13 oct - 19 oct</v>
      </c>
      <c r="C44" s="1" t="str">
        <f t="shared" si="1"/>
        <v>octubre</v>
      </c>
    </row>
    <row r="45" spans="1:3" x14ac:dyDescent="0.3">
      <c r="A45" s="1">
        <v>42</v>
      </c>
      <c r="B45" s="2" t="str">
        <v>20 oct - 26 oct</v>
      </c>
      <c r="C45" s="1" t="str">
        <f t="shared" si="1"/>
        <v>octubre</v>
      </c>
    </row>
    <row r="46" spans="1:3" x14ac:dyDescent="0.3">
      <c r="A46" s="1">
        <v>43</v>
      </c>
      <c r="B46" s="2" t="str">
        <v>27 oct - 2 nov</v>
      </c>
      <c r="C46" s="1" t="str">
        <f t="shared" si="1"/>
        <v>octubre</v>
      </c>
    </row>
    <row r="47" spans="1:3" x14ac:dyDescent="0.3">
      <c r="A47" s="1">
        <v>44</v>
      </c>
      <c r="B47" s="2" t="str">
        <v>3 nov - 9 nov</v>
      </c>
      <c r="C47" s="1" t="str">
        <f t="shared" si="1"/>
        <v>noviembre</v>
      </c>
    </row>
    <row r="48" spans="1:3" x14ac:dyDescent="0.3">
      <c r="A48" s="1">
        <v>45</v>
      </c>
      <c r="B48" s="2" t="str">
        <v>10 nov - 16 nov</v>
      </c>
      <c r="C48" s="1" t="str">
        <f t="shared" si="1"/>
        <v>noviembre</v>
      </c>
    </row>
    <row r="49" spans="1:3" x14ac:dyDescent="0.3">
      <c r="A49" s="1">
        <v>46</v>
      </c>
      <c r="B49" s="2" t="str">
        <v>17 nov - 23 nov</v>
      </c>
      <c r="C49" s="1" t="str">
        <f t="shared" si="1"/>
        <v>noviembre</v>
      </c>
    </row>
    <row r="50" spans="1:3" x14ac:dyDescent="0.3">
      <c r="A50" s="1">
        <v>47</v>
      </c>
      <c r="B50" s="2" t="str">
        <v>24 nov - 30 nov</v>
      </c>
      <c r="C50" s="1" t="str">
        <f t="shared" si="1"/>
        <v>noviembre</v>
      </c>
    </row>
    <row r="51" spans="1:3" x14ac:dyDescent="0.3">
      <c r="A51" s="1">
        <v>48</v>
      </c>
      <c r="B51" s="2" t="str">
        <v>1 dic - 7 dic</v>
      </c>
      <c r="C51" s="1" t="str">
        <f t="shared" si="1"/>
        <v>diciembre</v>
      </c>
    </row>
    <row r="52" spans="1:3" x14ac:dyDescent="0.3">
      <c r="A52" s="1">
        <v>49</v>
      </c>
      <c r="B52" s="2" t="str">
        <v>8 dic - 14 dic</v>
      </c>
      <c r="C52" s="1" t="str">
        <f t="shared" si="1"/>
        <v>diciembre</v>
      </c>
    </row>
    <row r="53" spans="1:3" x14ac:dyDescent="0.3">
      <c r="A53" s="1">
        <v>50</v>
      </c>
      <c r="B53" s="2" t="str">
        <v>15 dic - 21 dic</v>
      </c>
      <c r="C53" s="1" t="str">
        <f t="shared" si="1"/>
        <v>diciembre</v>
      </c>
    </row>
    <row r="54" spans="1:3" x14ac:dyDescent="0.3">
      <c r="A54" s="1">
        <v>51</v>
      </c>
      <c r="B54" s="2" t="str">
        <v>22 dic - 28 dic</v>
      </c>
      <c r="C54" s="1" t="str">
        <f t="shared" si="1"/>
        <v>diciembre</v>
      </c>
    </row>
    <row r="55" spans="1:3" x14ac:dyDescent="0.3">
      <c r="A55" s="1">
        <v>52</v>
      </c>
      <c r="B55" s="2" t="str">
        <v>29 dic - 4 ene</v>
      </c>
      <c r="C55" s="1" t="str">
        <f t="shared" si="1"/>
        <v>diciembre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F924-0F22-44EE-A349-167E881EDCE2}">
  <dimension ref="A1:F64"/>
  <sheetViews>
    <sheetView showGridLines="0" topLeftCell="A51" workbookViewId="0">
      <selection activeCell="F54" sqref="F54"/>
    </sheetView>
  </sheetViews>
  <sheetFormatPr baseColWidth="10" defaultRowHeight="14.4" x14ac:dyDescent="0.3"/>
  <cols>
    <col min="1" max="1" width="16.77734375" bestFit="1" customWidth="1"/>
    <col min="3" max="3" width="19.6640625" customWidth="1"/>
    <col min="4" max="4" width="16.5546875" customWidth="1"/>
    <col min="5" max="5" width="21.109375" bestFit="1" customWidth="1"/>
    <col min="6" max="6" width="19.109375" bestFit="1" customWidth="1"/>
  </cols>
  <sheetData>
    <row r="1" spans="1:6" s="25" customFormat="1" x14ac:dyDescent="0.3">
      <c r="A1" s="29" t="s">
        <v>230</v>
      </c>
      <c r="B1" s="30" t="s">
        <v>309</v>
      </c>
      <c r="C1" s="30" t="s">
        <v>306</v>
      </c>
      <c r="D1" s="30" t="s">
        <v>307</v>
      </c>
      <c r="E1" s="30" t="s">
        <v>308</v>
      </c>
      <c r="F1" s="30" t="s">
        <v>312</v>
      </c>
    </row>
    <row r="2" spans="1:6" x14ac:dyDescent="0.3">
      <c r="A2" s="13" t="s">
        <v>11</v>
      </c>
      <c r="B2" s="12" t="s">
        <v>299</v>
      </c>
      <c r="C2" s="32" t="s">
        <v>317</v>
      </c>
      <c r="D2" s="33" t="s">
        <v>319</v>
      </c>
      <c r="E2" s="31" t="s">
        <v>316</v>
      </c>
      <c r="F2" s="31" t="s">
        <v>315</v>
      </c>
    </row>
    <row r="3" spans="1:6" x14ac:dyDescent="0.3">
      <c r="A3" s="13" t="s">
        <v>11</v>
      </c>
      <c r="B3" s="12" t="s">
        <v>300</v>
      </c>
      <c r="C3" s="32" t="s">
        <v>317</v>
      </c>
      <c r="D3" s="33" t="s">
        <v>319</v>
      </c>
      <c r="E3" s="31" t="s">
        <v>316</v>
      </c>
      <c r="F3" s="31" t="s">
        <v>315</v>
      </c>
    </row>
    <row r="4" spans="1:6" x14ac:dyDescent="0.3">
      <c r="A4" s="13" t="s">
        <v>11</v>
      </c>
      <c r="B4" s="12" t="s">
        <v>311</v>
      </c>
      <c r="C4" s="32" t="s">
        <v>317</v>
      </c>
      <c r="D4" s="33" t="s">
        <v>319</v>
      </c>
      <c r="E4" s="31" t="s">
        <v>316</v>
      </c>
      <c r="F4" s="31" t="s">
        <v>315</v>
      </c>
    </row>
    <row r="5" spans="1:6" x14ac:dyDescent="0.3">
      <c r="A5" s="13" t="s">
        <v>11</v>
      </c>
      <c r="B5" s="12" t="s">
        <v>301</v>
      </c>
      <c r="C5" s="32" t="s">
        <v>317</v>
      </c>
      <c r="D5" s="33" t="s">
        <v>319</v>
      </c>
      <c r="E5" s="31" t="s">
        <v>316</v>
      </c>
      <c r="F5" s="31" t="s">
        <v>315</v>
      </c>
    </row>
    <row r="6" spans="1:6" x14ac:dyDescent="0.3">
      <c r="A6" s="13" t="s">
        <v>11</v>
      </c>
      <c r="B6" s="12" t="s">
        <v>302</v>
      </c>
      <c r="C6" s="32" t="s">
        <v>317</v>
      </c>
      <c r="D6" s="33" t="s">
        <v>320</v>
      </c>
      <c r="E6" s="31" t="s">
        <v>316</v>
      </c>
      <c r="F6" s="31" t="s">
        <v>315</v>
      </c>
    </row>
    <row r="7" spans="1:6" x14ac:dyDescent="0.3">
      <c r="A7" s="13" t="s">
        <v>11</v>
      </c>
      <c r="B7" s="12" t="s">
        <v>303</v>
      </c>
      <c r="C7" s="12"/>
      <c r="D7" s="12"/>
      <c r="E7" s="31" t="s">
        <v>316</v>
      </c>
      <c r="F7" s="31" t="s">
        <v>315</v>
      </c>
    </row>
    <row r="8" spans="1:6" x14ac:dyDescent="0.3">
      <c r="A8" s="13" t="s">
        <v>11</v>
      </c>
      <c r="B8" s="12" t="s">
        <v>304</v>
      </c>
      <c r="C8" s="12"/>
      <c r="D8" s="12"/>
      <c r="E8" s="31" t="s">
        <v>316</v>
      </c>
      <c r="F8" s="31" t="s">
        <v>315</v>
      </c>
    </row>
    <row r="9" spans="1:6" x14ac:dyDescent="0.3">
      <c r="A9" s="13" t="s">
        <v>19</v>
      </c>
      <c r="B9" s="12" t="s">
        <v>299</v>
      </c>
      <c r="C9" s="32" t="s">
        <v>317</v>
      </c>
      <c r="D9" s="33" t="s">
        <v>319</v>
      </c>
      <c r="E9" s="31" t="s">
        <v>316</v>
      </c>
      <c r="F9" s="31" t="s">
        <v>315</v>
      </c>
    </row>
    <row r="10" spans="1:6" x14ac:dyDescent="0.3">
      <c r="A10" s="13" t="s">
        <v>19</v>
      </c>
      <c r="B10" s="12" t="s">
        <v>300</v>
      </c>
      <c r="C10" s="32" t="s">
        <v>317</v>
      </c>
      <c r="D10" s="33" t="s">
        <v>319</v>
      </c>
      <c r="E10" s="31" t="s">
        <v>316</v>
      </c>
      <c r="F10" s="31" t="s">
        <v>315</v>
      </c>
    </row>
    <row r="11" spans="1:6" x14ac:dyDescent="0.3">
      <c r="A11" s="13" t="s">
        <v>19</v>
      </c>
      <c r="B11" s="12" t="s">
        <v>311</v>
      </c>
      <c r="C11" s="32" t="s">
        <v>317</v>
      </c>
      <c r="D11" s="33" t="s">
        <v>319</v>
      </c>
      <c r="E11" s="31" t="s">
        <v>316</v>
      </c>
      <c r="F11" s="31" t="s">
        <v>315</v>
      </c>
    </row>
    <row r="12" spans="1:6" x14ac:dyDescent="0.3">
      <c r="A12" s="13" t="s">
        <v>19</v>
      </c>
      <c r="B12" s="12" t="s">
        <v>301</v>
      </c>
      <c r="C12" s="32" t="s">
        <v>317</v>
      </c>
      <c r="D12" s="33" t="s">
        <v>319</v>
      </c>
      <c r="E12" s="31" t="s">
        <v>316</v>
      </c>
      <c r="F12" s="31" t="s">
        <v>315</v>
      </c>
    </row>
    <row r="13" spans="1:6" x14ac:dyDescent="0.3">
      <c r="A13" s="13" t="s">
        <v>19</v>
      </c>
      <c r="B13" s="12" t="s">
        <v>302</v>
      </c>
      <c r="C13" s="32" t="s">
        <v>317</v>
      </c>
      <c r="D13" s="33" t="s">
        <v>320</v>
      </c>
      <c r="E13" s="31" t="s">
        <v>316</v>
      </c>
      <c r="F13" s="31" t="s">
        <v>315</v>
      </c>
    </row>
    <row r="14" spans="1:6" x14ac:dyDescent="0.3">
      <c r="A14" s="13" t="s">
        <v>19</v>
      </c>
      <c r="B14" s="12" t="s">
        <v>303</v>
      </c>
      <c r="C14" s="12"/>
      <c r="D14" s="12"/>
      <c r="E14" s="31" t="s">
        <v>316</v>
      </c>
      <c r="F14" s="31" t="s">
        <v>315</v>
      </c>
    </row>
    <row r="15" spans="1:6" x14ac:dyDescent="0.3">
      <c r="A15" s="13" t="s">
        <v>19</v>
      </c>
      <c r="B15" s="12" t="s">
        <v>304</v>
      </c>
      <c r="C15" s="12"/>
      <c r="D15" s="12"/>
      <c r="E15" s="31" t="s">
        <v>316</v>
      </c>
      <c r="F15" s="31" t="s">
        <v>315</v>
      </c>
    </row>
    <row r="16" spans="1:6" x14ac:dyDescent="0.3">
      <c r="A16" s="13" t="s">
        <v>7</v>
      </c>
      <c r="B16" s="12" t="s">
        <v>299</v>
      </c>
      <c r="C16" s="32" t="s">
        <v>317</v>
      </c>
      <c r="D16" s="33" t="s">
        <v>319</v>
      </c>
      <c r="E16" s="31" t="s">
        <v>316</v>
      </c>
      <c r="F16" s="31" t="s">
        <v>315</v>
      </c>
    </row>
    <row r="17" spans="1:6" x14ac:dyDescent="0.3">
      <c r="A17" s="13" t="s">
        <v>7</v>
      </c>
      <c r="B17" s="12" t="s">
        <v>300</v>
      </c>
      <c r="C17" s="32" t="s">
        <v>317</v>
      </c>
      <c r="D17" s="33" t="s">
        <v>319</v>
      </c>
      <c r="E17" s="31" t="s">
        <v>316</v>
      </c>
      <c r="F17" s="31" t="s">
        <v>315</v>
      </c>
    </row>
    <row r="18" spans="1:6" x14ac:dyDescent="0.3">
      <c r="A18" s="13" t="s">
        <v>7</v>
      </c>
      <c r="B18" s="12" t="s">
        <v>311</v>
      </c>
      <c r="C18" s="32" t="s">
        <v>317</v>
      </c>
      <c r="D18" s="33" t="s">
        <v>319</v>
      </c>
      <c r="E18" s="31" t="s">
        <v>316</v>
      </c>
      <c r="F18" s="31" t="s">
        <v>315</v>
      </c>
    </row>
    <row r="19" spans="1:6" x14ac:dyDescent="0.3">
      <c r="A19" s="13" t="s">
        <v>7</v>
      </c>
      <c r="B19" s="12" t="s">
        <v>301</v>
      </c>
      <c r="C19" s="32" t="s">
        <v>317</v>
      </c>
      <c r="D19" s="33" t="s">
        <v>319</v>
      </c>
      <c r="E19" s="31" t="s">
        <v>316</v>
      </c>
      <c r="F19" s="31" t="s">
        <v>315</v>
      </c>
    </row>
    <row r="20" spans="1:6" x14ac:dyDescent="0.3">
      <c r="A20" s="13" t="s">
        <v>7</v>
      </c>
      <c r="B20" s="12" t="s">
        <v>302</v>
      </c>
      <c r="C20" s="32" t="s">
        <v>317</v>
      </c>
      <c r="D20" s="33" t="s">
        <v>316</v>
      </c>
      <c r="E20" s="31" t="s">
        <v>316</v>
      </c>
      <c r="F20" s="31" t="s">
        <v>315</v>
      </c>
    </row>
    <row r="21" spans="1:6" x14ac:dyDescent="0.3">
      <c r="A21" s="13" t="s">
        <v>7</v>
      </c>
      <c r="B21" s="12" t="s">
        <v>303</v>
      </c>
      <c r="C21" s="12"/>
      <c r="D21" s="12"/>
      <c r="E21" s="31" t="s">
        <v>316</v>
      </c>
      <c r="F21" s="31" t="s">
        <v>315</v>
      </c>
    </row>
    <row r="22" spans="1:6" x14ac:dyDescent="0.3">
      <c r="A22" s="13" t="s">
        <v>7</v>
      </c>
      <c r="B22" s="12" t="s">
        <v>304</v>
      </c>
      <c r="C22" s="12"/>
      <c r="D22" s="12"/>
      <c r="E22" s="31" t="s">
        <v>316</v>
      </c>
      <c r="F22" s="31" t="s">
        <v>315</v>
      </c>
    </row>
    <row r="23" spans="1:6" x14ac:dyDescent="0.3">
      <c r="A23" s="13" t="s">
        <v>22</v>
      </c>
      <c r="B23" s="12" t="s">
        <v>299</v>
      </c>
      <c r="C23" s="32" t="s">
        <v>317</v>
      </c>
      <c r="D23" s="33" t="s">
        <v>319</v>
      </c>
      <c r="E23" s="31" t="s">
        <v>316</v>
      </c>
      <c r="F23" s="31" t="s">
        <v>315</v>
      </c>
    </row>
    <row r="24" spans="1:6" x14ac:dyDescent="0.3">
      <c r="A24" s="13" t="s">
        <v>22</v>
      </c>
      <c r="B24" s="12" t="s">
        <v>300</v>
      </c>
      <c r="C24" s="32" t="s">
        <v>317</v>
      </c>
      <c r="D24" s="33" t="s">
        <v>319</v>
      </c>
      <c r="E24" s="31" t="s">
        <v>316</v>
      </c>
      <c r="F24" s="31" t="s">
        <v>315</v>
      </c>
    </row>
    <row r="25" spans="1:6" x14ac:dyDescent="0.3">
      <c r="A25" s="13" t="s">
        <v>22</v>
      </c>
      <c r="B25" s="12" t="s">
        <v>311</v>
      </c>
      <c r="C25" s="32" t="s">
        <v>317</v>
      </c>
      <c r="D25" s="33" t="s">
        <v>319</v>
      </c>
      <c r="E25" s="31" t="s">
        <v>316</v>
      </c>
      <c r="F25" s="31" t="s">
        <v>315</v>
      </c>
    </row>
    <row r="26" spans="1:6" x14ac:dyDescent="0.3">
      <c r="A26" s="13" t="s">
        <v>22</v>
      </c>
      <c r="B26" s="12" t="s">
        <v>301</v>
      </c>
      <c r="C26" s="32" t="s">
        <v>317</v>
      </c>
      <c r="D26" s="33" t="s">
        <v>319</v>
      </c>
      <c r="E26" s="31" t="s">
        <v>316</v>
      </c>
      <c r="F26" s="31" t="s">
        <v>315</v>
      </c>
    </row>
    <row r="27" spans="1:6" x14ac:dyDescent="0.3">
      <c r="A27" s="13" t="s">
        <v>22</v>
      </c>
      <c r="B27" s="12" t="s">
        <v>302</v>
      </c>
      <c r="C27" s="32" t="s">
        <v>317</v>
      </c>
      <c r="D27" s="33" t="s">
        <v>316</v>
      </c>
      <c r="E27" s="31" t="s">
        <v>316</v>
      </c>
      <c r="F27" s="31" t="s">
        <v>315</v>
      </c>
    </row>
    <row r="28" spans="1:6" x14ac:dyDescent="0.3">
      <c r="A28" s="13" t="s">
        <v>22</v>
      </c>
      <c r="B28" s="12" t="s">
        <v>303</v>
      </c>
      <c r="C28" s="12"/>
      <c r="D28" s="12"/>
      <c r="E28" s="31" t="s">
        <v>316</v>
      </c>
      <c r="F28" s="31" t="s">
        <v>315</v>
      </c>
    </row>
    <row r="29" spans="1:6" x14ac:dyDescent="0.3">
      <c r="A29" s="13" t="s">
        <v>22</v>
      </c>
      <c r="B29" s="12" t="s">
        <v>304</v>
      </c>
      <c r="C29" s="12"/>
      <c r="D29" s="12"/>
      <c r="E29" s="31" t="s">
        <v>316</v>
      </c>
      <c r="F29" s="31" t="s">
        <v>315</v>
      </c>
    </row>
    <row r="30" spans="1:6" x14ac:dyDescent="0.3">
      <c r="A30" s="13" t="s">
        <v>34</v>
      </c>
      <c r="B30" s="12" t="s">
        <v>299</v>
      </c>
      <c r="C30" s="32" t="s">
        <v>317</v>
      </c>
      <c r="D30" s="33" t="s">
        <v>319</v>
      </c>
      <c r="E30" s="31" t="s">
        <v>316</v>
      </c>
      <c r="F30" s="31" t="s">
        <v>315</v>
      </c>
    </row>
    <row r="31" spans="1:6" x14ac:dyDescent="0.3">
      <c r="A31" s="13" t="s">
        <v>34</v>
      </c>
      <c r="B31" s="12" t="s">
        <v>300</v>
      </c>
      <c r="C31" s="32" t="s">
        <v>317</v>
      </c>
      <c r="D31" s="33" t="s">
        <v>319</v>
      </c>
      <c r="E31" s="31" t="s">
        <v>316</v>
      </c>
      <c r="F31" s="31" t="s">
        <v>315</v>
      </c>
    </row>
    <row r="32" spans="1:6" x14ac:dyDescent="0.3">
      <c r="A32" s="13" t="s">
        <v>34</v>
      </c>
      <c r="B32" s="12" t="s">
        <v>311</v>
      </c>
      <c r="C32" s="32" t="s">
        <v>317</v>
      </c>
      <c r="D32" s="33" t="s">
        <v>319</v>
      </c>
      <c r="E32" s="31" t="s">
        <v>316</v>
      </c>
      <c r="F32" s="31" t="s">
        <v>315</v>
      </c>
    </row>
    <row r="33" spans="1:6" ht="12.6" customHeight="1" x14ac:dyDescent="0.3">
      <c r="A33" s="13" t="s">
        <v>34</v>
      </c>
      <c r="B33" s="12" t="s">
        <v>301</v>
      </c>
      <c r="C33" s="32" t="s">
        <v>317</v>
      </c>
      <c r="D33" s="33" t="s">
        <v>319</v>
      </c>
      <c r="E33" s="31" t="s">
        <v>316</v>
      </c>
      <c r="F33" s="31" t="s">
        <v>315</v>
      </c>
    </row>
    <row r="34" spans="1:6" x14ac:dyDescent="0.3">
      <c r="A34" s="13" t="s">
        <v>34</v>
      </c>
      <c r="B34" s="12" t="s">
        <v>302</v>
      </c>
      <c r="C34" s="32" t="s">
        <v>317</v>
      </c>
      <c r="D34" s="33" t="s">
        <v>316</v>
      </c>
      <c r="E34" s="31" t="s">
        <v>316</v>
      </c>
      <c r="F34" s="31" t="s">
        <v>315</v>
      </c>
    </row>
    <row r="35" spans="1:6" x14ac:dyDescent="0.3">
      <c r="A35" s="13" t="s">
        <v>34</v>
      </c>
      <c r="B35" s="12" t="s">
        <v>303</v>
      </c>
      <c r="C35" s="12"/>
      <c r="D35" s="12"/>
      <c r="E35" s="31" t="s">
        <v>316</v>
      </c>
      <c r="F35" s="31" t="s">
        <v>315</v>
      </c>
    </row>
    <row r="36" spans="1:6" x14ac:dyDescent="0.3">
      <c r="A36" s="13" t="s">
        <v>34</v>
      </c>
      <c r="B36" s="12" t="s">
        <v>304</v>
      </c>
      <c r="C36" s="12"/>
      <c r="D36" s="12"/>
      <c r="E36" s="31" t="s">
        <v>316</v>
      </c>
      <c r="F36" s="31" t="s">
        <v>315</v>
      </c>
    </row>
    <row r="37" spans="1:6" x14ac:dyDescent="0.3">
      <c r="A37" s="13" t="s">
        <v>137</v>
      </c>
      <c r="B37" s="12" t="s">
        <v>299</v>
      </c>
      <c r="C37" s="32" t="s">
        <v>317</v>
      </c>
      <c r="D37" s="33" t="s">
        <v>319</v>
      </c>
      <c r="E37" s="31" t="s">
        <v>316</v>
      </c>
      <c r="F37" s="31" t="s">
        <v>315</v>
      </c>
    </row>
    <row r="38" spans="1:6" x14ac:dyDescent="0.3">
      <c r="A38" s="13" t="s">
        <v>137</v>
      </c>
      <c r="B38" s="12" t="s">
        <v>300</v>
      </c>
      <c r="C38" s="32" t="s">
        <v>317</v>
      </c>
      <c r="D38" s="33" t="s">
        <v>319</v>
      </c>
      <c r="E38" s="31" t="s">
        <v>316</v>
      </c>
      <c r="F38" s="31" t="s">
        <v>315</v>
      </c>
    </row>
    <row r="39" spans="1:6" x14ac:dyDescent="0.3">
      <c r="A39" s="13" t="s">
        <v>137</v>
      </c>
      <c r="B39" s="12" t="s">
        <v>311</v>
      </c>
      <c r="C39" s="32" t="s">
        <v>317</v>
      </c>
      <c r="D39" s="33" t="s">
        <v>319</v>
      </c>
      <c r="E39" s="31" t="s">
        <v>316</v>
      </c>
      <c r="F39" s="31" t="s">
        <v>315</v>
      </c>
    </row>
    <row r="40" spans="1:6" x14ac:dyDescent="0.3">
      <c r="A40" s="13" t="s">
        <v>137</v>
      </c>
      <c r="B40" s="12" t="s">
        <v>301</v>
      </c>
      <c r="C40" s="32" t="s">
        <v>317</v>
      </c>
      <c r="D40" s="33" t="s">
        <v>319</v>
      </c>
      <c r="E40" s="31" t="s">
        <v>316</v>
      </c>
      <c r="F40" s="31" t="s">
        <v>315</v>
      </c>
    </row>
    <row r="41" spans="1:6" x14ac:dyDescent="0.3">
      <c r="A41" s="13" t="s">
        <v>137</v>
      </c>
      <c r="B41" s="12" t="s">
        <v>302</v>
      </c>
      <c r="C41" s="32" t="s">
        <v>317</v>
      </c>
      <c r="D41" s="33" t="s">
        <v>316</v>
      </c>
      <c r="E41" s="31" t="s">
        <v>316</v>
      </c>
      <c r="F41" s="31" t="s">
        <v>315</v>
      </c>
    </row>
    <row r="42" spans="1:6" x14ac:dyDescent="0.3">
      <c r="A42" s="13" t="s">
        <v>137</v>
      </c>
      <c r="B42" s="12" t="s">
        <v>303</v>
      </c>
      <c r="C42" s="12"/>
      <c r="D42" s="12"/>
      <c r="E42" s="31" t="s">
        <v>316</v>
      </c>
      <c r="F42" s="31" t="s">
        <v>315</v>
      </c>
    </row>
    <row r="43" spans="1:6" x14ac:dyDescent="0.3">
      <c r="A43" s="13" t="s">
        <v>137</v>
      </c>
      <c r="B43" s="12" t="s">
        <v>304</v>
      </c>
      <c r="C43" s="12"/>
      <c r="D43" s="12"/>
      <c r="E43" s="31" t="s">
        <v>316</v>
      </c>
      <c r="F43" s="31" t="s">
        <v>315</v>
      </c>
    </row>
    <row r="44" spans="1:6" x14ac:dyDescent="0.3">
      <c r="A44" s="13" t="s">
        <v>44</v>
      </c>
      <c r="B44" s="12" t="s">
        <v>299</v>
      </c>
      <c r="C44" s="32" t="s">
        <v>317</v>
      </c>
      <c r="D44" s="33" t="s">
        <v>319</v>
      </c>
      <c r="E44" s="31" t="s">
        <v>316</v>
      </c>
      <c r="F44" s="31" t="s">
        <v>315</v>
      </c>
    </row>
    <row r="45" spans="1:6" x14ac:dyDescent="0.3">
      <c r="A45" s="13" t="s">
        <v>44</v>
      </c>
      <c r="B45" s="12" t="s">
        <v>300</v>
      </c>
      <c r="C45" s="32" t="s">
        <v>317</v>
      </c>
      <c r="D45" s="33" t="s">
        <v>319</v>
      </c>
      <c r="E45" s="31" t="s">
        <v>316</v>
      </c>
      <c r="F45" s="31" t="s">
        <v>315</v>
      </c>
    </row>
    <row r="46" spans="1:6" x14ac:dyDescent="0.3">
      <c r="A46" s="13" t="s">
        <v>44</v>
      </c>
      <c r="B46" s="12" t="s">
        <v>311</v>
      </c>
      <c r="C46" s="32" t="s">
        <v>317</v>
      </c>
      <c r="D46" s="33" t="s">
        <v>319</v>
      </c>
      <c r="E46" s="31" t="s">
        <v>316</v>
      </c>
      <c r="F46" s="31" t="s">
        <v>315</v>
      </c>
    </row>
    <row r="47" spans="1:6" x14ac:dyDescent="0.3">
      <c r="A47" s="13" t="s">
        <v>44</v>
      </c>
      <c r="B47" s="12" t="s">
        <v>301</v>
      </c>
      <c r="C47" s="32" t="s">
        <v>317</v>
      </c>
      <c r="D47" s="33" t="s">
        <v>319</v>
      </c>
      <c r="E47" s="31" t="s">
        <v>316</v>
      </c>
      <c r="F47" s="31" t="s">
        <v>315</v>
      </c>
    </row>
    <row r="48" spans="1:6" x14ac:dyDescent="0.3">
      <c r="A48" s="13" t="s">
        <v>44</v>
      </c>
      <c r="B48" s="12" t="s">
        <v>302</v>
      </c>
      <c r="C48" s="32" t="s">
        <v>317</v>
      </c>
      <c r="D48" s="33" t="s">
        <v>316</v>
      </c>
      <c r="E48" s="31" t="s">
        <v>316</v>
      </c>
      <c r="F48" s="31" t="s">
        <v>315</v>
      </c>
    </row>
    <row r="49" spans="1:6" x14ac:dyDescent="0.3">
      <c r="A49" s="13" t="s">
        <v>44</v>
      </c>
      <c r="B49" s="12" t="s">
        <v>303</v>
      </c>
      <c r="C49" s="12"/>
      <c r="D49" s="12"/>
      <c r="E49" s="31" t="s">
        <v>316</v>
      </c>
      <c r="F49" s="31" t="s">
        <v>315</v>
      </c>
    </row>
    <row r="50" spans="1:6" x14ac:dyDescent="0.3">
      <c r="A50" s="13" t="s">
        <v>44</v>
      </c>
      <c r="B50" s="12" t="s">
        <v>304</v>
      </c>
      <c r="C50" s="12"/>
      <c r="D50" s="12"/>
      <c r="E50" s="31" t="s">
        <v>316</v>
      </c>
      <c r="F50" s="31" t="s">
        <v>315</v>
      </c>
    </row>
    <row r="51" spans="1:6" x14ac:dyDescent="0.3">
      <c r="A51" s="13" t="s">
        <v>209</v>
      </c>
      <c r="B51" s="12" t="s">
        <v>299</v>
      </c>
      <c r="C51" s="32" t="s">
        <v>313</v>
      </c>
      <c r="D51" s="33" t="s">
        <v>314</v>
      </c>
      <c r="E51" s="31" t="s">
        <v>316</v>
      </c>
      <c r="F51" s="31" t="s">
        <v>318</v>
      </c>
    </row>
    <row r="52" spans="1:6" x14ac:dyDescent="0.3">
      <c r="A52" s="13" t="s">
        <v>209</v>
      </c>
      <c r="B52" s="12" t="s">
        <v>300</v>
      </c>
      <c r="C52" s="32" t="s">
        <v>313</v>
      </c>
      <c r="D52" s="33" t="s">
        <v>314</v>
      </c>
      <c r="E52" s="31" t="s">
        <v>316</v>
      </c>
      <c r="F52" s="31" t="s">
        <v>318</v>
      </c>
    </row>
    <row r="53" spans="1:6" x14ac:dyDescent="0.3">
      <c r="A53" s="13" t="s">
        <v>209</v>
      </c>
      <c r="B53" s="12" t="s">
        <v>311</v>
      </c>
      <c r="C53" s="32" t="s">
        <v>313</v>
      </c>
      <c r="D53" s="33" t="s">
        <v>314</v>
      </c>
      <c r="E53" s="31" t="s">
        <v>316</v>
      </c>
      <c r="F53" s="31" t="s">
        <v>318</v>
      </c>
    </row>
    <row r="54" spans="1:6" x14ac:dyDescent="0.3">
      <c r="A54" s="13" t="s">
        <v>209</v>
      </c>
      <c r="B54" s="12" t="s">
        <v>301</v>
      </c>
      <c r="C54" s="32" t="s">
        <v>313</v>
      </c>
      <c r="D54" s="33" t="s">
        <v>314</v>
      </c>
      <c r="E54" s="31" t="s">
        <v>316</v>
      </c>
      <c r="F54" s="31" t="s">
        <v>318</v>
      </c>
    </row>
    <row r="55" spans="1:6" x14ac:dyDescent="0.3">
      <c r="A55" s="13" t="s">
        <v>209</v>
      </c>
      <c r="B55" s="12" t="s">
        <v>302</v>
      </c>
      <c r="C55" s="32" t="s">
        <v>313</v>
      </c>
      <c r="D55" s="33" t="s">
        <v>316</v>
      </c>
      <c r="E55" s="31" t="s">
        <v>316</v>
      </c>
      <c r="F55" s="31" t="s">
        <v>315</v>
      </c>
    </row>
    <row r="56" spans="1:6" x14ac:dyDescent="0.3">
      <c r="A56" s="13" t="s">
        <v>209</v>
      </c>
      <c r="B56" s="12" t="s">
        <v>303</v>
      </c>
      <c r="C56" s="12"/>
      <c r="D56" s="12"/>
      <c r="E56" s="31" t="s">
        <v>316</v>
      </c>
      <c r="F56" s="31" t="s">
        <v>315</v>
      </c>
    </row>
    <row r="57" spans="1:6" x14ac:dyDescent="0.3">
      <c r="A57" s="13" t="s">
        <v>209</v>
      </c>
      <c r="B57" s="12" t="s">
        <v>304</v>
      </c>
      <c r="C57" s="12"/>
      <c r="D57" s="12"/>
      <c r="E57" s="31" t="s">
        <v>316</v>
      </c>
      <c r="F57" s="31" t="s">
        <v>315</v>
      </c>
    </row>
    <row r="58" spans="1:6" hidden="1" x14ac:dyDescent="0.3">
      <c r="A58" s="13" t="s">
        <v>29</v>
      </c>
      <c r="B58" s="12" t="s">
        <v>299</v>
      </c>
      <c r="C58" s="12"/>
      <c r="D58" s="31"/>
      <c r="E58" s="31"/>
      <c r="F58" s="31"/>
    </row>
    <row r="59" spans="1:6" hidden="1" x14ac:dyDescent="0.3">
      <c r="A59" s="13" t="s">
        <v>29</v>
      </c>
      <c r="B59" s="12" t="s">
        <v>300</v>
      </c>
      <c r="C59" s="12"/>
      <c r="D59" s="31"/>
      <c r="E59" s="31"/>
      <c r="F59" s="31"/>
    </row>
    <row r="60" spans="1:6" hidden="1" x14ac:dyDescent="0.3">
      <c r="A60" s="13" t="s">
        <v>29</v>
      </c>
      <c r="B60" s="12" t="s">
        <v>311</v>
      </c>
      <c r="C60" s="12"/>
      <c r="D60" s="31"/>
      <c r="E60" s="31"/>
      <c r="F60" s="31"/>
    </row>
    <row r="61" spans="1:6" hidden="1" x14ac:dyDescent="0.3">
      <c r="A61" s="13" t="s">
        <v>29</v>
      </c>
      <c r="B61" s="12" t="s">
        <v>301</v>
      </c>
      <c r="C61" s="12"/>
      <c r="D61" s="31"/>
      <c r="E61" s="31"/>
      <c r="F61" s="31"/>
    </row>
    <row r="62" spans="1:6" hidden="1" x14ac:dyDescent="0.3">
      <c r="A62" s="13" t="s">
        <v>29</v>
      </c>
      <c r="B62" s="12" t="s">
        <v>302</v>
      </c>
      <c r="C62" s="12"/>
      <c r="D62" s="31"/>
      <c r="E62" s="31"/>
      <c r="F62" s="31"/>
    </row>
    <row r="63" spans="1:6" hidden="1" x14ac:dyDescent="0.3">
      <c r="A63" s="13" t="s">
        <v>29</v>
      </c>
      <c r="B63" s="12" t="s">
        <v>303</v>
      </c>
      <c r="C63" s="12"/>
      <c r="D63" s="31"/>
      <c r="E63" s="31"/>
      <c r="F63" s="31"/>
    </row>
    <row r="64" spans="1:6" hidden="1" x14ac:dyDescent="0.3">
      <c r="A64" s="13" t="s">
        <v>29</v>
      </c>
      <c r="B64" s="12" t="s">
        <v>304</v>
      </c>
      <c r="C64" s="12"/>
      <c r="D64" s="31"/>
      <c r="E64" s="31"/>
      <c r="F64" s="31"/>
    </row>
  </sheetData>
  <conditionalFormatting sqref="B1">
    <cfRule type="containsText" dxfId="27" priority="9" operator="containsText" text="Domingo">
      <formula>NOT(ISERROR(SEARCH("Domingo",B1)))</formula>
    </cfRule>
    <cfRule type="containsText" dxfId="26" priority="10" operator="containsText" text="Domingo">
      <formula>NOT(ISERROR(SEARCH("Domingo",B1)))</formula>
    </cfRule>
    <cfRule type="containsText" dxfId="25" priority="11" operator="containsText" text="Sábado">
      <formula>NOT(ISERROR(SEARCH("Sábado",B1)))</formula>
    </cfRule>
    <cfRule type="containsText" dxfId="24" priority="12" operator="containsText" text="Domingo">
      <formula>NOT(ISERROR(SEARCH("Domingo",B1)))</formula>
    </cfRule>
  </conditionalFormatting>
  <conditionalFormatting sqref="B1:C1">
    <cfRule type="containsText" dxfId="23" priority="5" operator="containsText" text="Domingo">
      <formula>NOT(ISERROR(SEARCH("Domingo",B1)))</formula>
    </cfRule>
    <cfRule type="containsText" dxfId="22" priority="6" operator="containsText" text="Domingo">
      <formula>NOT(ISERROR(SEARCH("Domingo",B1)))</formula>
    </cfRule>
    <cfRule type="containsText" dxfId="21" priority="7" operator="containsText" text="Sábado">
      <formula>NOT(ISERROR(SEARCH("Sábado",B1)))</formula>
    </cfRule>
    <cfRule type="containsText" dxfId="20" priority="8" operator="containsText" text="Domingo">
      <formula>NOT(ISERROR(SEARCH("Domingo",B1)))</formula>
    </cfRule>
  </conditionalFormatting>
  <conditionalFormatting sqref="C1">
    <cfRule type="containsText" dxfId="19" priority="1" operator="containsText" text="Domingo">
      <formula>NOT(ISERROR(SEARCH("Domingo",C1)))</formula>
    </cfRule>
    <cfRule type="containsText" dxfId="18" priority="2" operator="containsText" text="Domingo">
      <formula>NOT(ISERROR(SEARCH("Domingo",C1)))</formula>
    </cfRule>
    <cfRule type="containsText" dxfId="17" priority="3" operator="containsText" text="Sábado">
      <formula>NOT(ISERROR(SEARCH("Sábado",C1)))</formula>
    </cfRule>
    <cfRule type="containsText" dxfId="16" priority="4" operator="containsText" text="Domingo">
      <formula>NOT(ISERROR(SEARCH("Domingo",C1)))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A5C-6A29-42BC-B91A-12E659F5042E}">
  <dimension ref="A1:C53"/>
  <sheetViews>
    <sheetView showGridLines="0" zoomScale="85" zoomScaleNormal="85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C42" sqref="C42"/>
    </sheetView>
  </sheetViews>
  <sheetFormatPr baseColWidth="10" defaultRowHeight="14.4" x14ac:dyDescent="0.3"/>
  <cols>
    <col min="1" max="1" width="13.21875" bestFit="1" customWidth="1"/>
    <col min="2" max="3" width="15.109375" customWidth="1"/>
  </cols>
  <sheetData>
    <row r="1" spans="1:3" x14ac:dyDescent="0.3">
      <c r="A1" s="14" t="s">
        <v>231</v>
      </c>
      <c r="B1" s="15" t="s">
        <v>234</v>
      </c>
      <c r="C1" s="16" t="s">
        <v>232</v>
      </c>
    </row>
    <row r="2" spans="1:3" x14ac:dyDescent="0.3">
      <c r="A2" s="17">
        <v>1</v>
      </c>
      <c r="B2" s="11" t="s">
        <v>235</v>
      </c>
      <c r="C2" s="18" t="s">
        <v>236</v>
      </c>
    </row>
    <row r="3" spans="1:3" x14ac:dyDescent="0.3">
      <c r="A3" s="17">
        <v>2</v>
      </c>
      <c r="B3" s="11" t="s">
        <v>237</v>
      </c>
      <c r="C3" s="18" t="s">
        <v>236</v>
      </c>
    </row>
    <row r="4" spans="1:3" x14ac:dyDescent="0.3">
      <c r="A4" s="17">
        <v>3</v>
      </c>
      <c r="B4" s="11" t="s">
        <v>238</v>
      </c>
      <c r="C4" s="18" t="s">
        <v>236</v>
      </c>
    </row>
    <row r="5" spans="1:3" x14ac:dyDescent="0.3">
      <c r="A5" s="17">
        <v>4</v>
      </c>
      <c r="B5" s="11" t="s">
        <v>239</v>
      </c>
      <c r="C5" s="18" t="s">
        <v>236</v>
      </c>
    </row>
    <row r="6" spans="1:3" x14ac:dyDescent="0.3">
      <c r="A6" s="17">
        <v>5</v>
      </c>
      <c r="B6" s="11" t="s">
        <v>240</v>
      </c>
      <c r="C6" s="18" t="s">
        <v>241</v>
      </c>
    </row>
    <row r="7" spans="1:3" x14ac:dyDescent="0.3">
      <c r="A7" s="17">
        <v>6</v>
      </c>
      <c r="B7" s="11" t="s">
        <v>242</v>
      </c>
      <c r="C7" s="18" t="s">
        <v>241</v>
      </c>
    </row>
    <row r="8" spans="1:3" x14ac:dyDescent="0.3">
      <c r="A8" s="17">
        <v>7</v>
      </c>
      <c r="B8" s="11" t="s">
        <v>243</v>
      </c>
      <c r="C8" s="18" t="s">
        <v>241</v>
      </c>
    </row>
    <row r="9" spans="1:3" x14ac:dyDescent="0.3">
      <c r="A9" s="17">
        <v>8</v>
      </c>
      <c r="B9" s="11" t="s">
        <v>244</v>
      </c>
      <c r="C9" s="18" t="s">
        <v>241</v>
      </c>
    </row>
    <row r="10" spans="1:3" x14ac:dyDescent="0.3">
      <c r="A10" s="17">
        <v>9</v>
      </c>
      <c r="B10" s="11" t="s">
        <v>245</v>
      </c>
      <c r="C10" s="18" t="s">
        <v>246</v>
      </c>
    </row>
    <row r="11" spans="1:3" x14ac:dyDescent="0.3">
      <c r="A11" s="17">
        <v>10</v>
      </c>
      <c r="B11" s="11" t="s">
        <v>247</v>
      </c>
      <c r="C11" s="18" t="s">
        <v>246</v>
      </c>
    </row>
    <row r="12" spans="1:3" x14ac:dyDescent="0.3">
      <c r="A12" s="17">
        <v>11</v>
      </c>
      <c r="B12" s="11" t="s">
        <v>248</v>
      </c>
      <c r="C12" s="18" t="s">
        <v>246</v>
      </c>
    </row>
    <row r="13" spans="1:3" x14ac:dyDescent="0.3">
      <c r="A13" s="17">
        <v>12</v>
      </c>
      <c r="B13" s="11" t="s">
        <v>249</v>
      </c>
      <c r="C13" s="18" t="s">
        <v>246</v>
      </c>
    </row>
    <row r="14" spans="1:3" x14ac:dyDescent="0.3">
      <c r="A14" s="17">
        <v>13</v>
      </c>
      <c r="B14" s="11" t="s">
        <v>250</v>
      </c>
      <c r="C14" s="18" t="s">
        <v>251</v>
      </c>
    </row>
    <row r="15" spans="1:3" x14ac:dyDescent="0.3">
      <c r="A15" s="17">
        <v>14</v>
      </c>
      <c r="B15" s="11" t="s">
        <v>252</v>
      </c>
      <c r="C15" s="18" t="s">
        <v>251</v>
      </c>
    </row>
    <row r="16" spans="1:3" x14ac:dyDescent="0.3">
      <c r="A16" s="17">
        <v>15</v>
      </c>
      <c r="B16" s="11" t="s">
        <v>253</v>
      </c>
      <c r="C16" s="18" t="s">
        <v>251</v>
      </c>
    </row>
    <row r="17" spans="1:3" x14ac:dyDescent="0.3">
      <c r="A17" s="17">
        <v>16</v>
      </c>
      <c r="B17" s="11" t="s">
        <v>254</v>
      </c>
      <c r="C17" s="18" t="s">
        <v>251</v>
      </c>
    </row>
    <row r="18" spans="1:3" x14ac:dyDescent="0.3">
      <c r="A18" s="17">
        <v>17</v>
      </c>
      <c r="B18" s="11" t="s">
        <v>255</v>
      </c>
      <c r="C18" s="18" t="s">
        <v>251</v>
      </c>
    </row>
    <row r="19" spans="1:3" x14ac:dyDescent="0.3">
      <c r="A19" s="17">
        <v>18</v>
      </c>
      <c r="B19" s="11" t="s">
        <v>256</v>
      </c>
      <c r="C19" s="18" t="s">
        <v>257</v>
      </c>
    </row>
    <row r="20" spans="1:3" x14ac:dyDescent="0.3">
      <c r="A20" s="17">
        <v>19</v>
      </c>
      <c r="B20" s="11" t="s">
        <v>258</v>
      </c>
      <c r="C20" s="18" t="s">
        <v>257</v>
      </c>
    </row>
    <row r="21" spans="1:3" x14ac:dyDescent="0.3">
      <c r="A21" s="17">
        <v>20</v>
      </c>
      <c r="B21" s="11" t="s">
        <v>259</v>
      </c>
      <c r="C21" s="18" t="s">
        <v>257</v>
      </c>
    </row>
    <row r="22" spans="1:3" x14ac:dyDescent="0.3">
      <c r="A22" s="17">
        <v>21</v>
      </c>
      <c r="B22" s="11" t="s">
        <v>260</v>
      </c>
      <c r="C22" s="18" t="s">
        <v>257</v>
      </c>
    </row>
    <row r="23" spans="1:3" x14ac:dyDescent="0.3">
      <c r="A23" s="17">
        <v>22</v>
      </c>
      <c r="B23" s="11" t="s">
        <v>261</v>
      </c>
      <c r="C23" s="18" t="s">
        <v>262</v>
      </c>
    </row>
    <row r="24" spans="1:3" x14ac:dyDescent="0.3">
      <c r="A24" s="17">
        <v>23</v>
      </c>
      <c r="B24" s="11" t="s">
        <v>263</v>
      </c>
      <c r="C24" s="18" t="s">
        <v>262</v>
      </c>
    </row>
    <row r="25" spans="1:3" x14ac:dyDescent="0.3">
      <c r="A25" s="17">
        <v>24</v>
      </c>
      <c r="B25" s="11" t="s">
        <v>264</v>
      </c>
      <c r="C25" s="18" t="s">
        <v>262</v>
      </c>
    </row>
    <row r="26" spans="1:3" x14ac:dyDescent="0.3">
      <c r="A26" s="17">
        <v>25</v>
      </c>
      <c r="B26" s="11" t="s">
        <v>265</v>
      </c>
      <c r="C26" s="18" t="s">
        <v>262</v>
      </c>
    </row>
    <row r="27" spans="1:3" x14ac:dyDescent="0.3">
      <c r="A27" s="17">
        <v>26</v>
      </c>
      <c r="B27" s="11" t="s">
        <v>266</v>
      </c>
      <c r="C27" s="18" t="s">
        <v>267</v>
      </c>
    </row>
    <row r="28" spans="1:3" x14ac:dyDescent="0.3">
      <c r="A28" s="17">
        <v>27</v>
      </c>
      <c r="B28" s="11" t="s">
        <v>268</v>
      </c>
      <c r="C28" s="18" t="s">
        <v>267</v>
      </c>
    </row>
    <row r="29" spans="1:3" x14ac:dyDescent="0.3">
      <c r="A29" s="17">
        <v>28</v>
      </c>
      <c r="B29" s="11" t="s">
        <v>269</v>
      </c>
      <c r="C29" s="18" t="s">
        <v>267</v>
      </c>
    </row>
    <row r="30" spans="1:3" x14ac:dyDescent="0.3">
      <c r="A30" s="17">
        <v>29</v>
      </c>
      <c r="B30" s="11" t="s">
        <v>270</v>
      </c>
      <c r="C30" s="18" t="s">
        <v>267</v>
      </c>
    </row>
    <row r="31" spans="1:3" x14ac:dyDescent="0.3">
      <c r="A31" s="17">
        <v>30</v>
      </c>
      <c r="B31" s="11" t="s">
        <v>271</v>
      </c>
      <c r="C31" s="18" t="s">
        <v>267</v>
      </c>
    </row>
    <row r="32" spans="1:3" x14ac:dyDescent="0.3">
      <c r="A32" s="17">
        <v>31</v>
      </c>
      <c r="B32" s="11" t="s">
        <v>272</v>
      </c>
      <c r="C32" s="18" t="s">
        <v>273</v>
      </c>
    </row>
    <row r="33" spans="1:3" x14ac:dyDescent="0.3">
      <c r="A33" s="17">
        <v>32</v>
      </c>
      <c r="B33" s="11" t="s">
        <v>274</v>
      </c>
      <c r="C33" s="18" t="s">
        <v>273</v>
      </c>
    </row>
    <row r="34" spans="1:3" x14ac:dyDescent="0.3">
      <c r="A34" s="17">
        <v>33</v>
      </c>
      <c r="B34" s="11" t="s">
        <v>275</v>
      </c>
      <c r="C34" s="18" t="s">
        <v>273</v>
      </c>
    </row>
    <row r="35" spans="1:3" x14ac:dyDescent="0.3">
      <c r="A35" s="17">
        <v>34</v>
      </c>
      <c r="B35" s="11" t="s">
        <v>276</v>
      </c>
      <c r="C35" s="18" t="s">
        <v>273</v>
      </c>
    </row>
    <row r="36" spans="1:3" x14ac:dyDescent="0.3">
      <c r="A36" s="17">
        <v>35</v>
      </c>
      <c r="B36" s="11" t="s">
        <v>277</v>
      </c>
      <c r="C36" s="18" t="s">
        <v>278</v>
      </c>
    </row>
    <row r="37" spans="1:3" x14ac:dyDescent="0.3">
      <c r="A37" s="17">
        <v>36</v>
      </c>
      <c r="B37" s="11" t="s">
        <v>279</v>
      </c>
      <c r="C37" s="18" t="s">
        <v>278</v>
      </c>
    </row>
    <row r="38" spans="1:3" x14ac:dyDescent="0.3">
      <c r="A38" s="17">
        <v>37</v>
      </c>
      <c r="B38" s="11" t="s">
        <v>280</v>
      </c>
      <c r="C38" s="18" t="s">
        <v>278</v>
      </c>
    </row>
    <row r="39" spans="1:3" x14ac:dyDescent="0.3">
      <c r="A39" s="17">
        <v>38</v>
      </c>
      <c r="B39" s="11" t="s">
        <v>281</v>
      </c>
      <c r="C39" s="18" t="s">
        <v>278</v>
      </c>
    </row>
    <row r="40" spans="1:3" x14ac:dyDescent="0.3">
      <c r="A40" s="17">
        <v>39</v>
      </c>
      <c r="B40" s="11" t="s">
        <v>282</v>
      </c>
      <c r="C40" s="18" t="s">
        <v>278</v>
      </c>
    </row>
    <row r="41" spans="1:3" x14ac:dyDescent="0.3">
      <c r="A41" s="17">
        <v>40</v>
      </c>
      <c r="B41" s="11" t="s">
        <v>283</v>
      </c>
      <c r="C41" s="18" t="s">
        <v>284</v>
      </c>
    </row>
    <row r="42" spans="1:3" x14ac:dyDescent="0.3">
      <c r="A42" s="17">
        <v>41</v>
      </c>
      <c r="B42" s="11" t="s">
        <v>285</v>
      </c>
      <c r="C42" s="18" t="s">
        <v>284</v>
      </c>
    </row>
    <row r="43" spans="1:3" x14ac:dyDescent="0.3">
      <c r="A43" s="17">
        <v>42</v>
      </c>
      <c r="B43" s="11" t="s">
        <v>286</v>
      </c>
      <c r="C43" s="18" t="s">
        <v>284</v>
      </c>
    </row>
    <row r="44" spans="1:3" x14ac:dyDescent="0.3">
      <c r="A44" s="17">
        <v>43</v>
      </c>
      <c r="B44" s="11" t="s">
        <v>287</v>
      </c>
      <c r="C44" s="18" t="s">
        <v>284</v>
      </c>
    </row>
    <row r="45" spans="1:3" x14ac:dyDescent="0.3">
      <c r="A45" s="17">
        <v>44</v>
      </c>
      <c r="B45" s="11" t="s">
        <v>288</v>
      </c>
      <c r="C45" s="18" t="s">
        <v>289</v>
      </c>
    </row>
    <row r="46" spans="1:3" x14ac:dyDescent="0.3">
      <c r="A46" s="17">
        <v>45</v>
      </c>
      <c r="B46" s="11" t="s">
        <v>290</v>
      </c>
      <c r="C46" s="18" t="s">
        <v>289</v>
      </c>
    </row>
    <row r="47" spans="1:3" x14ac:dyDescent="0.3">
      <c r="A47" s="17">
        <v>46</v>
      </c>
      <c r="B47" s="11" t="s">
        <v>291</v>
      </c>
      <c r="C47" s="18" t="s">
        <v>289</v>
      </c>
    </row>
    <row r="48" spans="1:3" x14ac:dyDescent="0.3">
      <c r="A48" s="17">
        <v>47</v>
      </c>
      <c r="B48" s="11" t="s">
        <v>292</v>
      </c>
      <c r="C48" s="18" t="s">
        <v>289</v>
      </c>
    </row>
    <row r="49" spans="1:3" x14ac:dyDescent="0.3">
      <c r="A49" s="17">
        <v>48</v>
      </c>
      <c r="B49" s="11" t="s">
        <v>293</v>
      </c>
      <c r="C49" s="18" t="s">
        <v>294</v>
      </c>
    </row>
    <row r="50" spans="1:3" x14ac:dyDescent="0.3">
      <c r="A50" s="17">
        <v>49</v>
      </c>
      <c r="B50" s="11" t="s">
        <v>295</v>
      </c>
      <c r="C50" s="18" t="s">
        <v>294</v>
      </c>
    </row>
    <row r="51" spans="1:3" x14ac:dyDescent="0.3">
      <c r="A51" s="17">
        <v>50</v>
      </c>
      <c r="B51" s="11" t="s">
        <v>296</v>
      </c>
      <c r="C51" s="18" t="s">
        <v>294</v>
      </c>
    </row>
    <row r="52" spans="1:3" x14ac:dyDescent="0.3">
      <c r="A52" s="17">
        <v>51</v>
      </c>
      <c r="B52" s="11" t="s">
        <v>297</v>
      </c>
      <c r="C52" s="18" t="s">
        <v>294</v>
      </c>
    </row>
    <row r="53" spans="1:3" x14ac:dyDescent="0.3">
      <c r="A53" s="19">
        <v>52</v>
      </c>
      <c r="B53" s="20" t="s">
        <v>298</v>
      </c>
      <c r="C53" s="21" t="s">
        <v>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Personal</vt:lpstr>
      <vt:lpstr>JornadaSemanal</vt:lpstr>
      <vt:lpstr>JornadaDiaria</vt:lpstr>
      <vt:lpstr>JornadaHoraria</vt:lpstr>
      <vt:lpstr>Semanas</vt:lpstr>
      <vt:lpstr>HorasExtras</vt:lpstr>
      <vt:lpstr>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GUARNIZO RUIZ</dc:creator>
  <cp:lastModifiedBy>JUAN DAVID GUARNIZO RUIZ</cp:lastModifiedBy>
  <dcterms:created xsi:type="dcterms:W3CDTF">2025-10-20T00:21:24Z</dcterms:created>
  <dcterms:modified xsi:type="dcterms:W3CDTF">2025-10-29T18:55:37Z</dcterms:modified>
</cp:coreProperties>
</file>